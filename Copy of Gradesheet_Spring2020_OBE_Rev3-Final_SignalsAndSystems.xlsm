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029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D:\Signals And Systems\Paper\"/>
    </mc:Choice>
  </mc:AlternateContent>
  <xr:revisionPtr revIDLastSave="0" documentId="13_ncr:1_{2DF15F91-CC81-4A62-AAC3-42D2E89C9A37}" xr6:coauthVersionLast="45" xr6:coauthVersionMax="45" xr10:uidLastSave="{00000000-0000-0000-0000-000000000000}"/>
  <bookViews>
    <workbookView xWindow="-120" yWindow="-120" windowWidth="29040" windowHeight="15840" tabRatio="814" firstSheet="1" activeTab="2" xr2:uid="{00000000-000D-0000-FFFF-FFFF00000000}"/>
  </bookViews>
  <sheets>
    <sheet name="Attendance" sheetId="1" state="hidden" r:id="rId1"/>
    <sheet name="Outline" sheetId="13" r:id="rId2"/>
    <sheet name="Gradesheet" sheetId="2" r:id="rId3"/>
    <sheet name="Examsheet" sheetId="6" r:id="rId4"/>
    <sheet name="Sheet1" sheetId="15" state="hidden" r:id="rId5"/>
    <sheet name="Abbreviations" sheetId="7" r:id="rId6"/>
  </sheets>
  <definedNames>
    <definedName name="_xlnm._FilterDatabase" localSheetId="0" hidden="1">Attendance!$C$7:$C$60</definedName>
    <definedName name="_xlnm._FilterDatabase" localSheetId="2" hidden="1">Gradesheet!$A$4:$BA$50</definedName>
    <definedName name="_xlnm.Print_Area" localSheetId="2">Gradesheet!$A$1:$BA$50</definedName>
    <definedName name="_xlnm.Print_Titles" localSheetId="3">Examsheet!$9:$10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121" i="6" l="1"/>
  <c r="G122" i="6"/>
  <c r="G123" i="6"/>
  <c r="G124" i="6"/>
  <c r="G125" i="6"/>
  <c r="G126" i="6"/>
  <c r="G127" i="6"/>
  <c r="G128" i="6"/>
  <c r="G129" i="6"/>
  <c r="G130" i="6"/>
  <c r="G131" i="6"/>
  <c r="G132" i="6"/>
  <c r="G133" i="6"/>
  <c r="G134" i="6"/>
  <c r="G135" i="6"/>
  <c r="G136" i="6"/>
  <c r="G137" i="6"/>
  <c r="G138" i="6"/>
  <c r="G139" i="6"/>
  <c r="G140" i="6"/>
  <c r="G141" i="6"/>
  <c r="G142" i="6"/>
  <c r="G143" i="6"/>
  <c r="G144" i="6"/>
  <c r="G145" i="6"/>
  <c r="G146" i="6"/>
  <c r="G147" i="6"/>
  <c r="G148" i="6"/>
  <c r="G149" i="6"/>
  <c r="G150" i="6"/>
  <c r="G151" i="6"/>
  <c r="G152" i="6"/>
  <c r="G153" i="6"/>
  <c r="G154" i="6"/>
  <c r="G155" i="6"/>
  <c r="G156" i="6"/>
  <c r="G157" i="6"/>
  <c r="G158" i="6"/>
  <c r="G159" i="6"/>
  <c r="G160" i="6"/>
  <c r="G161" i="6"/>
  <c r="G162" i="6"/>
  <c r="G163" i="6"/>
  <c r="G164" i="6"/>
  <c r="G165" i="6"/>
  <c r="G166" i="6"/>
  <c r="G167" i="6"/>
  <c r="G168" i="6"/>
  <c r="G169" i="6"/>
  <c r="G170" i="6"/>
  <c r="G171" i="6"/>
  <c r="G172" i="6"/>
  <c r="G173" i="6"/>
  <c r="G174" i="6"/>
  <c r="G175" i="6"/>
  <c r="G176" i="6"/>
  <c r="G177" i="6"/>
  <c r="G178" i="6"/>
  <c r="G179" i="6"/>
  <c r="G180" i="6"/>
  <c r="G181" i="6"/>
  <c r="G182" i="6"/>
  <c r="G183" i="6"/>
  <c r="G184" i="6"/>
  <c r="G185" i="6"/>
  <c r="G186" i="6"/>
  <c r="G187" i="6"/>
  <c r="G188" i="6"/>
  <c r="G189" i="6"/>
  <c r="G190" i="6"/>
  <c r="G191" i="6"/>
  <c r="G192" i="6"/>
  <c r="G193" i="6"/>
  <c r="G194" i="6"/>
  <c r="G195" i="6"/>
  <c r="G196" i="6"/>
  <c r="G197" i="6"/>
  <c r="G198" i="6"/>
  <c r="G199" i="6"/>
  <c r="G200" i="6"/>
  <c r="G201" i="6"/>
  <c r="G202" i="6"/>
  <c r="G203" i="6"/>
  <c r="G204" i="6"/>
  <c r="G205" i="6"/>
  <c r="G206" i="6"/>
  <c r="G207" i="6"/>
  <c r="G208" i="6"/>
  <c r="G209" i="6"/>
  <c r="G210" i="6"/>
  <c r="G211" i="6"/>
  <c r="G212" i="6"/>
  <c r="G213" i="6"/>
  <c r="G214" i="6"/>
  <c r="G215" i="6"/>
  <c r="G216" i="6"/>
  <c r="G217" i="6"/>
  <c r="G218" i="6"/>
  <c r="G219" i="6"/>
  <c r="G220" i="6"/>
  <c r="G221" i="6"/>
  <c r="G222" i="6"/>
  <c r="G223" i="6"/>
  <c r="G224" i="6"/>
  <c r="G225" i="6"/>
  <c r="G226" i="6"/>
  <c r="G227" i="6"/>
  <c r="G228" i="6"/>
  <c r="G229" i="6"/>
  <c r="G230" i="6"/>
  <c r="G231" i="6"/>
  <c r="G232" i="6"/>
  <c r="G233" i="6"/>
  <c r="G234" i="6"/>
  <c r="G235" i="6"/>
  <c r="G236" i="6"/>
  <c r="G237" i="6"/>
  <c r="G238" i="6"/>
  <c r="G239" i="6"/>
  <c r="G240" i="6"/>
  <c r="G241" i="6"/>
  <c r="G242" i="6"/>
  <c r="G243" i="6"/>
  <c r="G244" i="6"/>
  <c r="G245" i="6"/>
  <c r="G246" i="6"/>
  <c r="G247" i="6"/>
  <c r="G248" i="6"/>
  <c r="G249" i="6"/>
  <c r="G250" i="6"/>
  <c r="G251" i="6"/>
  <c r="G252" i="6"/>
  <c r="G253" i="6"/>
  <c r="G254" i="6"/>
  <c r="G255" i="6"/>
  <c r="G256" i="6"/>
  <c r="G257" i="6"/>
  <c r="G258" i="6"/>
  <c r="G259" i="6"/>
  <c r="G260" i="6"/>
  <c r="G261" i="6"/>
  <c r="G262" i="6"/>
  <c r="G263" i="6"/>
  <c r="G264" i="6"/>
  <c r="G265" i="6"/>
  <c r="G266" i="6"/>
  <c r="G267" i="6"/>
  <c r="G268" i="6"/>
  <c r="G269" i="6"/>
  <c r="G270" i="6"/>
  <c r="G271" i="6"/>
  <c r="G272" i="6"/>
  <c r="G273" i="6"/>
  <c r="G274" i="6"/>
  <c r="G275" i="6"/>
  <c r="G276" i="6"/>
  <c r="G277" i="6"/>
  <c r="G278" i="6"/>
  <c r="G279" i="6"/>
  <c r="G280" i="6"/>
  <c r="G281" i="6"/>
  <c r="G282" i="6"/>
  <c r="G283" i="6"/>
  <c r="G284" i="6"/>
  <c r="G285" i="6"/>
  <c r="G286" i="6"/>
  <c r="G287" i="6"/>
  <c r="G288" i="6"/>
  <c r="G289" i="6"/>
  <c r="G290" i="6"/>
  <c r="G291" i="6"/>
  <c r="G292" i="6"/>
  <c r="G293" i="6"/>
  <c r="G294" i="6"/>
  <c r="G295" i="6"/>
  <c r="G296" i="6"/>
  <c r="G297" i="6"/>
  <c r="G298" i="6"/>
  <c r="G299" i="6"/>
  <c r="G300" i="6"/>
  <c r="G301" i="6"/>
  <c r="G302" i="6"/>
  <c r="G303" i="6"/>
  <c r="G304" i="6"/>
  <c r="G305" i="6"/>
  <c r="G306" i="6"/>
  <c r="G307" i="6"/>
  <c r="G308" i="6"/>
  <c r="G309" i="6"/>
  <c r="G310" i="6"/>
  <c r="G311" i="6"/>
  <c r="G312" i="6"/>
  <c r="G313" i="6"/>
  <c r="G314" i="6"/>
  <c r="G315" i="6"/>
  <c r="G316" i="6"/>
  <c r="G317" i="6"/>
  <c r="G318" i="6"/>
  <c r="G319" i="6"/>
  <c r="G320" i="6"/>
  <c r="G321" i="6"/>
  <c r="G322" i="6"/>
  <c r="G323" i="6"/>
  <c r="G324" i="6"/>
  <c r="G325" i="6"/>
  <c r="G326" i="6"/>
  <c r="G327" i="6"/>
  <c r="G328" i="6"/>
  <c r="G329" i="6"/>
  <c r="G330" i="6"/>
  <c r="G331" i="6"/>
  <c r="G332" i="6"/>
  <c r="G333" i="6"/>
  <c r="G334" i="6"/>
  <c r="G335" i="6"/>
  <c r="G336" i="6"/>
  <c r="G337" i="6"/>
  <c r="G338" i="6"/>
  <c r="G339" i="6"/>
  <c r="G340" i="6"/>
  <c r="G341" i="6"/>
  <c r="G342" i="6"/>
  <c r="G343" i="6"/>
  <c r="G344" i="6"/>
  <c r="G345" i="6"/>
  <c r="G346" i="6"/>
  <c r="G347" i="6"/>
  <c r="G348" i="6"/>
  <c r="G349" i="6"/>
  <c r="G350" i="6"/>
  <c r="G351" i="6"/>
  <c r="G352" i="6"/>
  <c r="G353" i="6"/>
  <c r="G354" i="6"/>
  <c r="G355" i="6"/>
  <c r="G356" i="6"/>
  <c r="G357" i="6"/>
  <c r="G358" i="6"/>
  <c r="G359" i="6"/>
  <c r="G360" i="6"/>
  <c r="G361" i="6"/>
  <c r="G362" i="6"/>
  <c r="G363" i="6"/>
  <c r="G364" i="6"/>
  <c r="G365" i="6"/>
  <c r="G366" i="6"/>
  <c r="G367" i="6"/>
  <c r="G368" i="6"/>
  <c r="G369" i="6"/>
  <c r="G370" i="6"/>
  <c r="G371" i="6"/>
  <c r="G372" i="6"/>
  <c r="G373" i="6"/>
  <c r="G374" i="6"/>
  <c r="G375" i="6"/>
  <c r="G376" i="6"/>
  <c r="G377" i="6"/>
  <c r="G378" i="6"/>
  <c r="G379" i="6"/>
  <c r="G380" i="6"/>
  <c r="G381" i="6"/>
  <c r="G382" i="6"/>
  <c r="G383" i="6"/>
  <c r="G384" i="6"/>
  <c r="G385" i="6"/>
  <c r="G386" i="6"/>
  <c r="G387" i="6"/>
  <c r="G388" i="6"/>
  <c r="G389" i="6"/>
  <c r="G390" i="6"/>
  <c r="G391" i="6"/>
  <c r="G392" i="6"/>
  <c r="G393" i="6"/>
  <c r="G394" i="6"/>
  <c r="G395" i="6"/>
  <c r="G396" i="6"/>
  <c r="G397" i="6"/>
  <c r="G398" i="6"/>
  <c r="G399" i="6"/>
  <c r="G400" i="6"/>
  <c r="G401" i="6"/>
  <c r="G402" i="6"/>
  <c r="G403" i="6"/>
  <c r="G404" i="6"/>
  <c r="G405" i="6"/>
  <c r="G406" i="6"/>
  <c r="G407" i="6"/>
  <c r="G408" i="6"/>
  <c r="G409" i="6"/>
  <c r="G410" i="6"/>
  <c r="G411" i="6"/>
  <c r="G412" i="6"/>
  <c r="G413" i="6"/>
  <c r="G414" i="6"/>
  <c r="G415" i="6"/>
  <c r="G416" i="6"/>
  <c r="G417" i="6"/>
  <c r="G418" i="6"/>
  <c r="G419" i="6"/>
  <c r="G420" i="6"/>
  <c r="G421" i="6"/>
  <c r="G422" i="6"/>
  <c r="G423" i="6"/>
  <c r="G424" i="6"/>
  <c r="G425" i="6"/>
  <c r="G426" i="6"/>
  <c r="G427" i="6"/>
  <c r="G428" i="6"/>
  <c r="G429" i="6"/>
  <c r="G430" i="6"/>
  <c r="G431" i="6"/>
  <c r="G432" i="6"/>
  <c r="G433" i="6"/>
  <c r="G434" i="6"/>
  <c r="G435" i="6"/>
  <c r="G436" i="6"/>
  <c r="G437" i="6"/>
  <c r="G438" i="6"/>
  <c r="G439" i="6"/>
  <c r="G440" i="6"/>
  <c r="G441" i="6"/>
  <c r="G442" i="6"/>
  <c r="G443" i="6"/>
  <c r="G444" i="6"/>
  <c r="G445" i="6"/>
  <c r="G446" i="6"/>
  <c r="G447" i="6"/>
  <c r="G448" i="6"/>
  <c r="G449" i="6"/>
  <c r="G450" i="6"/>
  <c r="G451" i="6"/>
  <c r="G452" i="6"/>
  <c r="G453" i="6"/>
  <c r="G454" i="6"/>
  <c r="G455" i="6"/>
  <c r="G456" i="6"/>
  <c r="G457" i="6"/>
  <c r="G458" i="6"/>
  <c r="G459" i="6"/>
  <c r="G460" i="6"/>
  <c r="G461" i="6"/>
  <c r="G462" i="6"/>
  <c r="G463" i="6"/>
  <c r="G464" i="6"/>
  <c r="G465" i="6"/>
  <c r="G466" i="6"/>
  <c r="G467" i="6"/>
  <c r="G468" i="6"/>
  <c r="G469" i="6"/>
  <c r="G470" i="6"/>
  <c r="G471" i="6"/>
  <c r="G472" i="6"/>
  <c r="G473" i="6"/>
  <c r="G474" i="6"/>
  <c r="G475" i="6"/>
  <c r="G476" i="6"/>
  <c r="G477" i="6"/>
  <c r="G478" i="6"/>
  <c r="G479" i="6"/>
  <c r="G480" i="6"/>
  <c r="G481" i="6"/>
  <c r="G482" i="6"/>
  <c r="G483" i="6"/>
  <c r="G484" i="6"/>
  <c r="G485" i="6"/>
  <c r="G486" i="6"/>
  <c r="G487" i="6"/>
  <c r="G488" i="6"/>
  <c r="G489" i="6"/>
  <c r="G490" i="6"/>
  <c r="G491" i="6"/>
  <c r="G492" i="6"/>
  <c r="G493" i="6"/>
  <c r="G494" i="6"/>
  <c r="G495" i="6"/>
  <c r="G496" i="6"/>
  <c r="G497" i="6"/>
  <c r="G498" i="6"/>
  <c r="G499" i="6"/>
  <c r="G500" i="6"/>
  <c r="G501" i="6"/>
  <c r="G502" i="6"/>
  <c r="G503" i="6"/>
  <c r="G504" i="6"/>
  <c r="G505" i="6"/>
  <c r="G506" i="6"/>
  <c r="G507" i="6"/>
  <c r="G508" i="6"/>
  <c r="G509" i="6"/>
  <c r="G510" i="6"/>
  <c r="G511" i="6"/>
  <c r="G512" i="6"/>
  <c r="G513" i="6"/>
  <c r="G514" i="6"/>
  <c r="G515" i="6"/>
  <c r="G516" i="6"/>
  <c r="G517" i="6"/>
  <c r="G518" i="6"/>
  <c r="G519" i="6"/>
  <c r="G520" i="6"/>
  <c r="G521" i="6"/>
  <c r="G522" i="6"/>
  <c r="G523" i="6"/>
  <c r="G524" i="6"/>
  <c r="G525" i="6"/>
  <c r="G526" i="6"/>
  <c r="G527" i="6"/>
  <c r="G528" i="6"/>
  <c r="G529" i="6"/>
  <c r="G530" i="6"/>
  <c r="G531" i="6"/>
  <c r="G532" i="6"/>
  <c r="G533" i="6"/>
  <c r="G534" i="6"/>
  <c r="G535" i="6"/>
  <c r="G536" i="6"/>
  <c r="G537" i="6"/>
  <c r="G538" i="6"/>
  <c r="G539" i="6"/>
  <c r="G540" i="6"/>
  <c r="G541" i="6"/>
  <c r="G542" i="6"/>
  <c r="G543" i="6"/>
  <c r="G544" i="6"/>
  <c r="G545" i="6"/>
  <c r="G546" i="6"/>
  <c r="G547" i="6"/>
  <c r="G548" i="6"/>
  <c r="G549" i="6"/>
  <c r="G550" i="6"/>
  <c r="G551" i="6"/>
  <c r="G552" i="6"/>
  <c r="G553" i="6"/>
  <c r="G554" i="6"/>
  <c r="G555" i="6"/>
  <c r="G556" i="6"/>
  <c r="G557" i="6"/>
  <c r="G558" i="6"/>
  <c r="G559" i="6"/>
  <c r="G560" i="6"/>
  <c r="G561" i="6"/>
  <c r="G562" i="6"/>
  <c r="G563" i="6"/>
  <c r="G564" i="6"/>
  <c r="G565" i="6"/>
  <c r="G566" i="6"/>
  <c r="G567" i="6"/>
  <c r="G568" i="6"/>
  <c r="G569" i="6"/>
  <c r="G570" i="6"/>
  <c r="G571" i="6"/>
  <c r="G572" i="6"/>
  <c r="G573" i="6"/>
  <c r="G574" i="6"/>
  <c r="G575" i="6"/>
  <c r="G576" i="6"/>
  <c r="G577" i="6"/>
  <c r="G578" i="6"/>
  <c r="G579" i="6"/>
  <c r="G580" i="6"/>
  <c r="G581" i="6"/>
  <c r="G582" i="6"/>
  <c r="G583" i="6"/>
  <c r="G584" i="6"/>
  <c r="G585" i="6"/>
  <c r="G586" i="6"/>
  <c r="G587" i="6"/>
  <c r="G588" i="6"/>
  <c r="G589" i="6"/>
  <c r="G590" i="6"/>
  <c r="G591" i="6"/>
  <c r="G592" i="6"/>
  <c r="G593" i="6"/>
  <c r="G594" i="6"/>
  <c r="G595" i="6"/>
  <c r="G596" i="6"/>
  <c r="G597" i="6"/>
  <c r="G598" i="6"/>
  <c r="G599" i="6"/>
  <c r="G600" i="6"/>
  <c r="G601" i="6"/>
  <c r="G602" i="6"/>
  <c r="G603" i="6"/>
  <c r="G604" i="6"/>
  <c r="G605" i="6"/>
  <c r="G606" i="6"/>
  <c r="G607" i="6"/>
  <c r="G608" i="6"/>
  <c r="G609" i="6"/>
  <c r="G610" i="6"/>
  <c r="G611" i="6"/>
  <c r="G612" i="6"/>
  <c r="G613" i="6"/>
  <c r="G614" i="6"/>
  <c r="G615" i="6"/>
  <c r="G616" i="6"/>
  <c r="G617" i="6"/>
  <c r="G618" i="6"/>
  <c r="G619" i="6"/>
  <c r="G620" i="6"/>
  <c r="G621" i="6"/>
  <c r="G622" i="6"/>
  <c r="G623" i="6"/>
  <c r="G624" i="6"/>
  <c r="G625" i="6"/>
  <c r="G626" i="6"/>
  <c r="G627" i="6"/>
  <c r="G628" i="6"/>
  <c r="G629" i="6"/>
  <c r="G630" i="6"/>
  <c r="G631" i="6"/>
  <c r="G632" i="6"/>
  <c r="G633" i="6"/>
  <c r="G634" i="6"/>
  <c r="G635" i="6"/>
  <c r="G636" i="6"/>
  <c r="G637" i="6"/>
  <c r="G638" i="6"/>
  <c r="G639" i="6"/>
  <c r="G640" i="6"/>
  <c r="G641" i="6"/>
  <c r="G642" i="6"/>
  <c r="G643" i="6"/>
  <c r="G644" i="6"/>
  <c r="G645" i="6"/>
  <c r="G646" i="6"/>
  <c r="G647" i="6"/>
  <c r="G648" i="6"/>
  <c r="G649" i="6"/>
  <c r="G650" i="6"/>
  <c r="G651" i="6"/>
  <c r="G652" i="6"/>
  <c r="G653" i="6"/>
  <c r="G654" i="6"/>
  <c r="G655" i="6"/>
  <c r="G656" i="6"/>
  <c r="G657" i="6"/>
  <c r="G658" i="6"/>
  <c r="G659" i="6"/>
  <c r="G660" i="6"/>
  <c r="G661" i="6"/>
  <c r="G662" i="6"/>
  <c r="G663" i="6"/>
  <c r="G664" i="6"/>
  <c r="G665" i="6"/>
  <c r="G666" i="6"/>
  <c r="G667" i="6"/>
  <c r="G668" i="6"/>
  <c r="G669" i="6"/>
  <c r="G670" i="6"/>
  <c r="G671" i="6"/>
  <c r="G672" i="6"/>
  <c r="G673" i="6"/>
  <c r="G674" i="6"/>
  <c r="G675" i="6"/>
  <c r="G676" i="6"/>
  <c r="G677" i="6"/>
  <c r="G678" i="6"/>
  <c r="G679" i="6"/>
  <c r="G680" i="6"/>
  <c r="G681" i="6"/>
  <c r="G682" i="6"/>
  <c r="G683" i="6"/>
  <c r="G684" i="6"/>
  <c r="G685" i="6"/>
  <c r="G686" i="6"/>
  <c r="G687" i="6"/>
  <c r="G688" i="6"/>
  <c r="G689" i="6"/>
  <c r="G690" i="6"/>
  <c r="G691" i="6"/>
  <c r="G692" i="6"/>
  <c r="G693" i="6"/>
  <c r="G694" i="6"/>
  <c r="G695" i="6"/>
  <c r="G696" i="6"/>
  <c r="G697" i="6"/>
  <c r="G698" i="6"/>
  <c r="G699" i="6"/>
  <c r="G700" i="6"/>
  <c r="G701" i="6"/>
  <c r="G702" i="6"/>
  <c r="G703" i="6"/>
  <c r="G704" i="6"/>
  <c r="G705" i="6"/>
  <c r="G706" i="6"/>
  <c r="G707" i="6"/>
  <c r="G708" i="6"/>
  <c r="G709" i="6"/>
  <c r="G710" i="6"/>
  <c r="G711" i="6"/>
  <c r="G712" i="6"/>
  <c r="G713" i="6"/>
  <c r="G714" i="6"/>
  <c r="G715" i="6"/>
  <c r="G716" i="6"/>
  <c r="G717" i="6"/>
  <c r="G718" i="6"/>
  <c r="G719" i="6"/>
  <c r="G720" i="6"/>
  <c r="G721" i="6"/>
  <c r="G722" i="6"/>
  <c r="G723" i="6"/>
  <c r="G724" i="6"/>
  <c r="G725" i="6"/>
  <c r="G726" i="6"/>
  <c r="G727" i="6"/>
  <c r="G728" i="6"/>
  <c r="G729" i="6"/>
  <c r="G730" i="6"/>
  <c r="G731" i="6"/>
  <c r="G732" i="6"/>
  <c r="G733" i="6"/>
  <c r="G734" i="6"/>
  <c r="G735" i="6"/>
  <c r="G736" i="6"/>
  <c r="G737" i="6"/>
  <c r="G738" i="6"/>
  <c r="G739" i="6"/>
  <c r="G740" i="6"/>
  <c r="G741" i="6"/>
  <c r="G742" i="6"/>
  <c r="G743" i="6"/>
  <c r="G744" i="6"/>
  <c r="G745" i="6"/>
  <c r="G746" i="6"/>
  <c r="G747" i="6"/>
  <c r="G748" i="6"/>
  <c r="G749" i="6"/>
  <c r="G750" i="6"/>
  <c r="G751" i="6"/>
  <c r="G752" i="6"/>
  <c r="G753" i="6"/>
  <c r="G754" i="6"/>
  <c r="G755" i="6"/>
  <c r="G756" i="6"/>
  <c r="G757" i="6"/>
  <c r="G758" i="6"/>
  <c r="G759" i="6"/>
  <c r="G760" i="6"/>
  <c r="G761" i="6"/>
  <c r="G762" i="6"/>
  <c r="G763" i="6"/>
  <c r="G764" i="6"/>
  <c r="G765" i="6"/>
  <c r="G766" i="6"/>
  <c r="G767" i="6"/>
  <c r="G768" i="6"/>
  <c r="G769" i="6"/>
  <c r="G770" i="6"/>
  <c r="G771" i="6"/>
  <c r="G772" i="6"/>
  <c r="G773" i="6"/>
  <c r="G774" i="6"/>
  <c r="G775" i="6"/>
  <c r="G776" i="6"/>
  <c r="G777" i="6"/>
  <c r="G778" i="6"/>
  <c r="G779" i="6"/>
  <c r="G780" i="6"/>
  <c r="G781" i="6"/>
  <c r="G782" i="6"/>
  <c r="G783" i="6"/>
  <c r="G784" i="6"/>
  <c r="G785" i="6"/>
  <c r="G786" i="6"/>
  <c r="G787" i="6"/>
  <c r="G788" i="6"/>
  <c r="G789" i="6"/>
  <c r="G790" i="6"/>
  <c r="G791" i="6"/>
  <c r="G792" i="6"/>
  <c r="G793" i="6"/>
  <c r="G794" i="6"/>
  <c r="G795" i="6"/>
  <c r="G796" i="6"/>
  <c r="G797" i="6"/>
  <c r="G798" i="6"/>
  <c r="G799" i="6"/>
  <c r="G800" i="6"/>
  <c r="G801" i="6"/>
  <c r="G802" i="6"/>
  <c r="G803" i="6"/>
  <c r="G804" i="6"/>
  <c r="G805" i="6"/>
  <c r="G806" i="6"/>
  <c r="G807" i="6"/>
  <c r="G808" i="6"/>
  <c r="G809" i="6"/>
  <c r="G810" i="6"/>
  <c r="G811" i="6"/>
  <c r="G812" i="6"/>
  <c r="G813" i="6"/>
  <c r="G814" i="6"/>
  <c r="G815" i="6"/>
  <c r="G816" i="6"/>
  <c r="G817" i="6"/>
  <c r="G818" i="6"/>
  <c r="G819" i="6"/>
  <c r="G820" i="6"/>
  <c r="G821" i="6"/>
  <c r="G822" i="6"/>
  <c r="G823" i="6"/>
  <c r="G824" i="6"/>
  <c r="G825" i="6"/>
  <c r="G826" i="6"/>
  <c r="G827" i="6"/>
  <c r="G828" i="6"/>
  <c r="G829" i="6"/>
  <c r="G830" i="6"/>
  <c r="G831" i="6"/>
  <c r="G832" i="6"/>
  <c r="G833" i="6"/>
  <c r="G834" i="6"/>
  <c r="G835" i="6"/>
  <c r="G836" i="6"/>
  <c r="G837" i="6"/>
  <c r="G838" i="6"/>
  <c r="G839" i="6"/>
  <c r="G840" i="6"/>
  <c r="G841" i="6"/>
  <c r="G842" i="6"/>
  <c r="G843" i="6"/>
  <c r="G844" i="6"/>
  <c r="G845" i="6"/>
  <c r="G846" i="6"/>
  <c r="G847" i="6"/>
  <c r="G848" i="6"/>
  <c r="G849" i="6"/>
  <c r="G850" i="6"/>
  <c r="G851" i="6"/>
  <c r="G852" i="6"/>
  <c r="G853" i="6"/>
  <c r="G854" i="6"/>
  <c r="G855" i="6"/>
  <c r="G856" i="6"/>
  <c r="G857" i="6"/>
  <c r="G858" i="6"/>
  <c r="G859" i="6"/>
  <c r="G860" i="6"/>
  <c r="G861" i="6"/>
  <c r="G862" i="6"/>
  <c r="G863" i="6"/>
  <c r="G864" i="6"/>
  <c r="G865" i="6"/>
  <c r="G866" i="6"/>
  <c r="G867" i="6"/>
  <c r="G868" i="6"/>
  <c r="G869" i="6"/>
  <c r="G870" i="6"/>
  <c r="G871" i="6"/>
  <c r="G872" i="6"/>
  <c r="G873" i="6"/>
  <c r="G874" i="6"/>
  <c r="G875" i="6"/>
  <c r="G876" i="6"/>
  <c r="G877" i="6"/>
  <c r="G878" i="6"/>
  <c r="G879" i="6"/>
  <c r="G880" i="6"/>
  <c r="G881" i="6"/>
  <c r="G882" i="6"/>
  <c r="G883" i="6"/>
  <c r="G884" i="6"/>
  <c r="G885" i="6"/>
  <c r="G886" i="6"/>
  <c r="G887" i="6"/>
  <c r="G888" i="6"/>
  <c r="G889" i="6"/>
  <c r="G890" i="6"/>
  <c r="G891" i="6"/>
  <c r="G892" i="6"/>
  <c r="G893" i="6"/>
  <c r="G894" i="6"/>
  <c r="G895" i="6"/>
  <c r="G896" i="6"/>
  <c r="G897" i="6"/>
  <c r="G898" i="6"/>
  <c r="G899" i="6"/>
  <c r="G900" i="6"/>
  <c r="G901" i="6"/>
  <c r="G902" i="6"/>
  <c r="G903" i="6"/>
  <c r="G904" i="6"/>
  <c r="G905" i="6"/>
  <c r="G906" i="6"/>
  <c r="G907" i="6"/>
  <c r="G908" i="6"/>
  <c r="G909" i="6"/>
  <c r="G910" i="6"/>
  <c r="G911" i="6"/>
  <c r="G912" i="6"/>
  <c r="G913" i="6"/>
  <c r="G914" i="6"/>
  <c r="G915" i="6"/>
  <c r="G916" i="6"/>
  <c r="G917" i="6"/>
  <c r="G918" i="6"/>
  <c r="G919" i="6"/>
  <c r="G920" i="6"/>
  <c r="G921" i="6"/>
  <c r="G922" i="6"/>
  <c r="G923" i="6"/>
  <c r="G924" i="6"/>
  <c r="G925" i="6"/>
  <c r="G926" i="6"/>
  <c r="G927" i="6"/>
  <c r="G928" i="6"/>
  <c r="G929" i="6"/>
  <c r="G930" i="6"/>
  <c r="G931" i="6"/>
  <c r="G932" i="6"/>
  <c r="G933" i="6"/>
  <c r="G934" i="6"/>
  <c r="G935" i="6"/>
  <c r="G936" i="6"/>
  <c r="G937" i="6"/>
  <c r="G938" i="6"/>
  <c r="G939" i="6"/>
  <c r="G940" i="6"/>
  <c r="G941" i="6"/>
  <c r="G942" i="6"/>
  <c r="G943" i="6"/>
  <c r="G944" i="6"/>
  <c r="G945" i="6"/>
  <c r="G946" i="6"/>
  <c r="G947" i="6"/>
  <c r="G948" i="6"/>
  <c r="G949" i="6"/>
  <c r="G950" i="6"/>
  <c r="G951" i="6"/>
  <c r="G952" i="6"/>
  <c r="G953" i="6"/>
  <c r="G954" i="6"/>
  <c r="G955" i="6"/>
  <c r="G956" i="6"/>
  <c r="G957" i="6"/>
  <c r="G958" i="6"/>
  <c r="G959" i="6"/>
  <c r="G960" i="6"/>
  <c r="G961" i="6"/>
  <c r="G962" i="6"/>
  <c r="G963" i="6"/>
  <c r="G964" i="6"/>
  <c r="G965" i="6"/>
  <c r="G966" i="6"/>
  <c r="G967" i="6"/>
  <c r="G968" i="6"/>
  <c r="G969" i="6"/>
  <c r="G970" i="6"/>
  <c r="G971" i="6"/>
  <c r="G972" i="6"/>
  <c r="G973" i="6"/>
  <c r="G974" i="6"/>
  <c r="G975" i="6"/>
  <c r="G976" i="6"/>
  <c r="G977" i="6"/>
  <c r="G978" i="6"/>
  <c r="G979" i="6"/>
  <c r="G980" i="6"/>
  <c r="G981" i="6"/>
  <c r="G982" i="6"/>
  <c r="G983" i="6"/>
  <c r="G984" i="6"/>
  <c r="G985" i="6"/>
  <c r="G986" i="6"/>
  <c r="G987" i="6"/>
  <c r="G988" i="6"/>
  <c r="G989" i="6"/>
  <c r="G990" i="6"/>
  <c r="G991" i="6"/>
  <c r="G992" i="6"/>
  <c r="G993" i="6"/>
  <c r="G994" i="6"/>
  <c r="G995" i="6"/>
  <c r="G996" i="6"/>
  <c r="G997" i="6"/>
  <c r="G998" i="6"/>
  <c r="G999" i="6"/>
  <c r="G1000" i="6"/>
  <c r="D121" i="6"/>
  <c r="D122" i="6"/>
  <c r="D123" i="6"/>
  <c r="D124" i="6"/>
  <c r="D125" i="6"/>
  <c r="D126" i="6"/>
  <c r="D127" i="6"/>
  <c r="D128" i="6"/>
  <c r="D129" i="6"/>
  <c r="D130" i="6"/>
  <c r="D131" i="6"/>
  <c r="D132" i="6"/>
  <c r="D133" i="6"/>
  <c r="D134" i="6"/>
  <c r="D135" i="6"/>
  <c r="D136" i="6"/>
  <c r="D137" i="6"/>
  <c r="D138" i="6"/>
  <c r="D139" i="6"/>
  <c r="D140" i="6"/>
  <c r="D141" i="6"/>
  <c r="D142" i="6"/>
  <c r="D143" i="6"/>
  <c r="D144" i="6"/>
  <c r="D145" i="6"/>
  <c r="D146" i="6"/>
  <c r="D147" i="6"/>
  <c r="D148" i="6"/>
  <c r="D149" i="6"/>
  <c r="D150" i="6"/>
  <c r="D151" i="6"/>
  <c r="D152" i="6"/>
  <c r="D153" i="6"/>
  <c r="D154" i="6"/>
  <c r="D155" i="6"/>
  <c r="D156" i="6"/>
  <c r="D157" i="6"/>
  <c r="D158" i="6"/>
  <c r="D159" i="6"/>
  <c r="D160" i="6"/>
  <c r="D161" i="6"/>
  <c r="D162" i="6"/>
  <c r="D163" i="6"/>
  <c r="D164" i="6"/>
  <c r="D165" i="6"/>
  <c r="D166" i="6"/>
  <c r="D167" i="6"/>
  <c r="D168" i="6"/>
  <c r="D169" i="6"/>
  <c r="D170" i="6"/>
  <c r="D171" i="6"/>
  <c r="D172" i="6"/>
  <c r="D173" i="6"/>
  <c r="D174" i="6"/>
  <c r="D175" i="6"/>
  <c r="D176" i="6"/>
  <c r="D177" i="6"/>
  <c r="D178" i="6"/>
  <c r="D179" i="6"/>
  <c r="D180" i="6"/>
  <c r="D181" i="6"/>
  <c r="D182" i="6"/>
  <c r="D183" i="6"/>
  <c r="D184" i="6"/>
  <c r="D185" i="6"/>
  <c r="D186" i="6"/>
  <c r="D187" i="6"/>
  <c r="D188" i="6"/>
  <c r="D189" i="6"/>
  <c r="D190" i="6"/>
  <c r="D191" i="6"/>
  <c r="D192" i="6"/>
  <c r="D193" i="6"/>
  <c r="D194" i="6"/>
  <c r="D195" i="6"/>
  <c r="D196" i="6"/>
  <c r="D197" i="6"/>
  <c r="D198" i="6"/>
  <c r="D199" i="6"/>
  <c r="D200" i="6"/>
  <c r="D201" i="6"/>
  <c r="D202" i="6"/>
  <c r="D203" i="6"/>
  <c r="D204" i="6"/>
  <c r="D205" i="6"/>
  <c r="D206" i="6"/>
  <c r="D207" i="6"/>
  <c r="D208" i="6"/>
  <c r="D209" i="6"/>
  <c r="D210" i="6"/>
  <c r="D211" i="6"/>
  <c r="D212" i="6"/>
  <c r="D213" i="6"/>
  <c r="D214" i="6"/>
  <c r="D215" i="6"/>
  <c r="D216" i="6"/>
  <c r="D217" i="6"/>
  <c r="D218" i="6"/>
  <c r="D219" i="6"/>
  <c r="D220" i="6"/>
  <c r="D221" i="6"/>
  <c r="D222" i="6"/>
  <c r="D223" i="6"/>
  <c r="D224" i="6"/>
  <c r="D225" i="6"/>
  <c r="D226" i="6"/>
  <c r="D227" i="6"/>
  <c r="D228" i="6"/>
  <c r="D229" i="6"/>
  <c r="D230" i="6"/>
  <c r="D231" i="6"/>
  <c r="D232" i="6"/>
  <c r="D233" i="6"/>
  <c r="D234" i="6"/>
  <c r="D235" i="6"/>
  <c r="D236" i="6"/>
  <c r="D237" i="6"/>
  <c r="D238" i="6"/>
  <c r="D239" i="6"/>
  <c r="D240" i="6"/>
  <c r="D241" i="6"/>
  <c r="D242" i="6"/>
  <c r="D243" i="6"/>
  <c r="D244" i="6"/>
  <c r="D245" i="6"/>
  <c r="D246" i="6"/>
  <c r="D247" i="6"/>
  <c r="D248" i="6"/>
  <c r="D249" i="6"/>
  <c r="D250" i="6"/>
  <c r="D251" i="6"/>
  <c r="D252" i="6"/>
  <c r="D253" i="6"/>
  <c r="D254" i="6"/>
  <c r="D255" i="6"/>
  <c r="D256" i="6"/>
  <c r="D257" i="6"/>
  <c r="D258" i="6"/>
  <c r="D259" i="6"/>
  <c r="D260" i="6"/>
  <c r="D261" i="6"/>
  <c r="D262" i="6"/>
  <c r="D263" i="6"/>
  <c r="D264" i="6"/>
  <c r="D265" i="6"/>
  <c r="D266" i="6"/>
  <c r="D267" i="6"/>
  <c r="D268" i="6"/>
  <c r="D269" i="6"/>
  <c r="D270" i="6"/>
  <c r="D271" i="6"/>
  <c r="D272" i="6"/>
  <c r="D273" i="6"/>
  <c r="D274" i="6"/>
  <c r="D275" i="6"/>
  <c r="D276" i="6"/>
  <c r="D277" i="6"/>
  <c r="D278" i="6"/>
  <c r="D279" i="6"/>
  <c r="D280" i="6"/>
  <c r="D281" i="6"/>
  <c r="D282" i="6"/>
  <c r="D283" i="6"/>
  <c r="D284" i="6"/>
  <c r="D285" i="6"/>
  <c r="D286" i="6"/>
  <c r="D287" i="6"/>
  <c r="D288" i="6"/>
  <c r="D289" i="6"/>
  <c r="D290" i="6"/>
  <c r="D291" i="6"/>
  <c r="D292" i="6"/>
  <c r="D293" i="6"/>
  <c r="D294" i="6"/>
  <c r="D295" i="6"/>
  <c r="D296" i="6"/>
  <c r="D297" i="6"/>
  <c r="D298" i="6"/>
  <c r="D299" i="6"/>
  <c r="D300" i="6"/>
  <c r="D301" i="6"/>
  <c r="D302" i="6"/>
  <c r="D303" i="6"/>
  <c r="D304" i="6"/>
  <c r="D305" i="6"/>
  <c r="D306" i="6"/>
  <c r="D307" i="6"/>
  <c r="D308" i="6"/>
  <c r="D309" i="6"/>
  <c r="D310" i="6"/>
  <c r="D311" i="6"/>
  <c r="D312" i="6"/>
  <c r="D313" i="6"/>
  <c r="D314" i="6"/>
  <c r="D315" i="6"/>
  <c r="D316" i="6"/>
  <c r="D317" i="6"/>
  <c r="D318" i="6"/>
  <c r="D319" i="6"/>
  <c r="D320" i="6"/>
  <c r="D321" i="6"/>
  <c r="D322" i="6"/>
  <c r="D323" i="6"/>
  <c r="D324" i="6"/>
  <c r="D325" i="6"/>
  <c r="D326" i="6"/>
  <c r="D327" i="6"/>
  <c r="D328" i="6"/>
  <c r="D329" i="6"/>
  <c r="D330" i="6"/>
  <c r="D331" i="6"/>
  <c r="D332" i="6"/>
  <c r="D333" i="6"/>
  <c r="D334" i="6"/>
  <c r="D335" i="6"/>
  <c r="D336" i="6"/>
  <c r="D337" i="6"/>
  <c r="D338" i="6"/>
  <c r="D339" i="6"/>
  <c r="D340" i="6"/>
  <c r="D341" i="6"/>
  <c r="D342" i="6"/>
  <c r="D343" i="6"/>
  <c r="D344" i="6"/>
  <c r="D345" i="6"/>
  <c r="D346" i="6"/>
  <c r="D347" i="6"/>
  <c r="D348" i="6"/>
  <c r="D349" i="6"/>
  <c r="D350" i="6"/>
  <c r="D351" i="6"/>
  <c r="D352" i="6"/>
  <c r="D353" i="6"/>
  <c r="D354" i="6"/>
  <c r="D355" i="6"/>
  <c r="D356" i="6"/>
  <c r="D357" i="6"/>
  <c r="D358" i="6"/>
  <c r="D359" i="6"/>
  <c r="D360" i="6"/>
  <c r="D361" i="6"/>
  <c r="D362" i="6"/>
  <c r="D363" i="6"/>
  <c r="D364" i="6"/>
  <c r="D365" i="6"/>
  <c r="D366" i="6"/>
  <c r="D367" i="6"/>
  <c r="D368" i="6"/>
  <c r="D369" i="6"/>
  <c r="D370" i="6"/>
  <c r="D371" i="6"/>
  <c r="D372" i="6"/>
  <c r="D373" i="6"/>
  <c r="D374" i="6"/>
  <c r="D375" i="6"/>
  <c r="D376" i="6"/>
  <c r="D377" i="6"/>
  <c r="D378" i="6"/>
  <c r="D379" i="6"/>
  <c r="D380" i="6"/>
  <c r="D381" i="6"/>
  <c r="D382" i="6"/>
  <c r="D383" i="6"/>
  <c r="D384" i="6"/>
  <c r="D385" i="6"/>
  <c r="D386" i="6"/>
  <c r="D387" i="6"/>
  <c r="D388" i="6"/>
  <c r="D389" i="6"/>
  <c r="D390" i="6"/>
  <c r="D391" i="6"/>
  <c r="D392" i="6"/>
  <c r="D393" i="6"/>
  <c r="D394" i="6"/>
  <c r="D395" i="6"/>
  <c r="D396" i="6"/>
  <c r="D397" i="6"/>
  <c r="D398" i="6"/>
  <c r="D399" i="6"/>
  <c r="D400" i="6"/>
  <c r="D401" i="6"/>
  <c r="D402" i="6"/>
  <c r="D403" i="6"/>
  <c r="D404" i="6"/>
  <c r="D405" i="6"/>
  <c r="D406" i="6"/>
  <c r="D407" i="6"/>
  <c r="D408" i="6"/>
  <c r="D409" i="6"/>
  <c r="D410" i="6"/>
  <c r="D411" i="6"/>
  <c r="D412" i="6"/>
  <c r="D413" i="6"/>
  <c r="D414" i="6"/>
  <c r="D415" i="6"/>
  <c r="D416" i="6"/>
  <c r="D417" i="6"/>
  <c r="D418" i="6"/>
  <c r="D419" i="6"/>
  <c r="D420" i="6"/>
  <c r="D421" i="6"/>
  <c r="D422" i="6"/>
  <c r="D423" i="6"/>
  <c r="D424" i="6"/>
  <c r="D425" i="6"/>
  <c r="D426" i="6"/>
  <c r="D427" i="6"/>
  <c r="D428" i="6"/>
  <c r="D429" i="6"/>
  <c r="D430" i="6"/>
  <c r="D431" i="6"/>
  <c r="D432" i="6"/>
  <c r="D433" i="6"/>
  <c r="D434" i="6"/>
  <c r="D435" i="6"/>
  <c r="D436" i="6"/>
  <c r="D437" i="6"/>
  <c r="D438" i="6"/>
  <c r="D439" i="6"/>
  <c r="D440" i="6"/>
  <c r="D441" i="6"/>
  <c r="D442" i="6"/>
  <c r="D443" i="6"/>
  <c r="D444" i="6"/>
  <c r="D445" i="6"/>
  <c r="D446" i="6"/>
  <c r="D447" i="6"/>
  <c r="D448" i="6"/>
  <c r="D449" i="6"/>
  <c r="D450" i="6"/>
  <c r="D451" i="6"/>
  <c r="D452" i="6"/>
  <c r="D453" i="6"/>
  <c r="D454" i="6"/>
  <c r="D455" i="6"/>
  <c r="D456" i="6"/>
  <c r="D457" i="6"/>
  <c r="D458" i="6"/>
  <c r="D459" i="6"/>
  <c r="D460" i="6"/>
  <c r="D461" i="6"/>
  <c r="D462" i="6"/>
  <c r="D463" i="6"/>
  <c r="D464" i="6"/>
  <c r="D465" i="6"/>
  <c r="D466" i="6"/>
  <c r="D467" i="6"/>
  <c r="D468" i="6"/>
  <c r="D469" i="6"/>
  <c r="D470" i="6"/>
  <c r="D471" i="6"/>
  <c r="D472" i="6"/>
  <c r="D473" i="6"/>
  <c r="D474" i="6"/>
  <c r="D475" i="6"/>
  <c r="D476" i="6"/>
  <c r="D477" i="6"/>
  <c r="D478" i="6"/>
  <c r="D479" i="6"/>
  <c r="D480" i="6"/>
  <c r="D481" i="6"/>
  <c r="D482" i="6"/>
  <c r="D483" i="6"/>
  <c r="D484" i="6"/>
  <c r="D485" i="6"/>
  <c r="D486" i="6"/>
  <c r="D487" i="6"/>
  <c r="D488" i="6"/>
  <c r="D489" i="6"/>
  <c r="D490" i="6"/>
  <c r="D491" i="6"/>
  <c r="D492" i="6"/>
  <c r="D493" i="6"/>
  <c r="D494" i="6"/>
  <c r="D495" i="6"/>
  <c r="D496" i="6"/>
  <c r="D497" i="6"/>
  <c r="D498" i="6"/>
  <c r="D499" i="6"/>
  <c r="D500" i="6"/>
  <c r="D501" i="6"/>
  <c r="D502" i="6"/>
  <c r="D503" i="6"/>
  <c r="D504" i="6"/>
  <c r="D505" i="6"/>
  <c r="D506" i="6"/>
  <c r="D507" i="6"/>
  <c r="D508" i="6"/>
  <c r="D509" i="6"/>
  <c r="D510" i="6"/>
  <c r="D511" i="6"/>
  <c r="D512" i="6"/>
  <c r="D513" i="6"/>
  <c r="D514" i="6"/>
  <c r="D515" i="6"/>
  <c r="D516" i="6"/>
  <c r="D517" i="6"/>
  <c r="D518" i="6"/>
  <c r="D519" i="6"/>
  <c r="D520" i="6"/>
  <c r="D521" i="6"/>
  <c r="D522" i="6"/>
  <c r="D523" i="6"/>
  <c r="D524" i="6"/>
  <c r="D525" i="6"/>
  <c r="D526" i="6"/>
  <c r="D527" i="6"/>
  <c r="D528" i="6"/>
  <c r="D529" i="6"/>
  <c r="D530" i="6"/>
  <c r="D531" i="6"/>
  <c r="D532" i="6"/>
  <c r="D533" i="6"/>
  <c r="D534" i="6"/>
  <c r="D535" i="6"/>
  <c r="D536" i="6"/>
  <c r="D537" i="6"/>
  <c r="D538" i="6"/>
  <c r="D539" i="6"/>
  <c r="D540" i="6"/>
  <c r="D541" i="6"/>
  <c r="D542" i="6"/>
  <c r="D543" i="6"/>
  <c r="D544" i="6"/>
  <c r="D545" i="6"/>
  <c r="D546" i="6"/>
  <c r="D547" i="6"/>
  <c r="D548" i="6"/>
  <c r="D549" i="6"/>
  <c r="D550" i="6"/>
  <c r="D551" i="6"/>
  <c r="D552" i="6"/>
  <c r="D553" i="6"/>
  <c r="D554" i="6"/>
  <c r="D555" i="6"/>
  <c r="D556" i="6"/>
  <c r="D557" i="6"/>
  <c r="D558" i="6"/>
  <c r="D559" i="6"/>
  <c r="D560" i="6"/>
  <c r="D561" i="6"/>
  <c r="D562" i="6"/>
  <c r="D563" i="6"/>
  <c r="D564" i="6"/>
  <c r="D565" i="6"/>
  <c r="D566" i="6"/>
  <c r="D567" i="6"/>
  <c r="D568" i="6"/>
  <c r="D569" i="6"/>
  <c r="D570" i="6"/>
  <c r="D571" i="6"/>
  <c r="D572" i="6"/>
  <c r="D573" i="6"/>
  <c r="D574" i="6"/>
  <c r="D575" i="6"/>
  <c r="D576" i="6"/>
  <c r="D577" i="6"/>
  <c r="D578" i="6"/>
  <c r="D579" i="6"/>
  <c r="D580" i="6"/>
  <c r="D581" i="6"/>
  <c r="D582" i="6"/>
  <c r="D583" i="6"/>
  <c r="D584" i="6"/>
  <c r="D585" i="6"/>
  <c r="D586" i="6"/>
  <c r="D587" i="6"/>
  <c r="D588" i="6"/>
  <c r="D589" i="6"/>
  <c r="D590" i="6"/>
  <c r="D591" i="6"/>
  <c r="D592" i="6"/>
  <c r="D593" i="6"/>
  <c r="D594" i="6"/>
  <c r="D595" i="6"/>
  <c r="D596" i="6"/>
  <c r="D597" i="6"/>
  <c r="D598" i="6"/>
  <c r="D599" i="6"/>
  <c r="D600" i="6"/>
  <c r="D601" i="6"/>
  <c r="D602" i="6"/>
  <c r="D603" i="6"/>
  <c r="D604" i="6"/>
  <c r="D605" i="6"/>
  <c r="D606" i="6"/>
  <c r="D607" i="6"/>
  <c r="D608" i="6"/>
  <c r="D609" i="6"/>
  <c r="D610" i="6"/>
  <c r="D611" i="6"/>
  <c r="D612" i="6"/>
  <c r="D613" i="6"/>
  <c r="D614" i="6"/>
  <c r="D615" i="6"/>
  <c r="D616" i="6"/>
  <c r="D617" i="6"/>
  <c r="D618" i="6"/>
  <c r="D619" i="6"/>
  <c r="D620" i="6"/>
  <c r="D621" i="6"/>
  <c r="D622" i="6"/>
  <c r="D623" i="6"/>
  <c r="D624" i="6"/>
  <c r="D625" i="6"/>
  <c r="D626" i="6"/>
  <c r="D627" i="6"/>
  <c r="D628" i="6"/>
  <c r="D629" i="6"/>
  <c r="D630" i="6"/>
  <c r="D631" i="6"/>
  <c r="D632" i="6"/>
  <c r="D633" i="6"/>
  <c r="D634" i="6"/>
  <c r="D635" i="6"/>
  <c r="D636" i="6"/>
  <c r="D637" i="6"/>
  <c r="D638" i="6"/>
  <c r="D639" i="6"/>
  <c r="D640" i="6"/>
  <c r="D641" i="6"/>
  <c r="D642" i="6"/>
  <c r="D643" i="6"/>
  <c r="D644" i="6"/>
  <c r="D645" i="6"/>
  <c r="D646" i="6"/>
  <c r="D647" i="6"/>
  <c r="D648" i="6"/>
  <c r="D649" i="6"/>
  <c r="D650" i="6"/>
  <c r="D651" i="6"/>
  <c r="D652" i="6"/>
  <c r="D653" i="6"/>
  <c r="D654" i="6"/>
  <c r="D655" i="6"/>
  <c r="D656" i="6"/>
  <c r="D657" i="6"/>
  <c r="D658" i="6"/>
  <c r="D659" i="6"/>
  <c r="D660" i="6"/>
  <c r="D661" i="6"/>
  <c r="D662" i="6"/>
  <c r="D663" i="6"/>
  <c r="D664" i="6"/>
  <c r="D665" i="6"/>
  <c r="D666" i="6"/>
  <c r="D667" i="6"/>
  <c r="D668" i="6"/>
  <c r="D669" i="6"/>
  <c r="D670" i="6"/>
  <c r="D671" i="6"/>
  <c r="D672" i="6"/>
  <c r="D673" i="6"/>
  <c r="D674" i="6"/>
  <c r="D675" i="6"/>
  <c r="D676" i="6"/>
  <c r="D677" i="6"/>
  <c r="D678" i="6"/>
  <c r="D679" i="6"/>
  <c r="D680" i="6"/>
  <c r="D681" i="6"/>
  <c r="D682" i="6"/>
  <c r="D683" i="6"/>
  <c r="D684" i="6"/>
  <c r="D685" i="6"/>
  <c r="D686" i="6"/>
  <c r="D687" i="6"/>
  <c r="D688" i="6"/>
  <c r="D689" i="6"/>
  <c r="D690" i="6"/>
  <c r="D691" i="6"/>
  <c r="D692" i="6"/>
  <c r="D693" i="6"/>
  <c r="D694" i="6"/>
  <c r="D695" i="6"/>
  <c r="D696" i="6"/>
  <c r="D697" i="6"/>
  <c r="D698" i="6"/>
  <c r="D699" i="6"/>
  <c r="D700" i="6"/>
  <c r="D701" i="6"/>
  <c r="D702" i="6"/>
  <c r="D703" i="6"/>
  <c r="D704" i="6"/>
  <c r="D705" i="6"/>
  <c r="D706" i="6"/>
  <c r="D707" i="6"/>
  <c r="D708" i="6"/>
  <c r="D709" i="6"/>
  <c r="D710" i="6"/>
  <c r="D711" i="6"/>
  <c r="D712" i="6"/>
  <c r="D713" i="6"/>
  <c r="D714" i="6"/>
  <c r="D715" i="6"/>
  <c r="D716" i="6"/>
  <c r="D717" i="6"/>
  <c r="D718" i="6"/>
  <c r="D719" i="6"/>
  <c r="D720" i="6"/>
  <c r="D721" i="6"/>
  <c r="D722" i="6"/>
  <c r="D723" i="6"/>
  <c r="D724" i="6"/>
  <c r="D725" i="6"/>
  <c r="D726" i="6"/>
  <c r="D727" i="6"/>
  <c r="D728" i="6"/>
  <c r="D729" i="6"/>
  <c r="D730" i="6"/>
  <c r="D731" i="6"/>
  <c r="D732" i="6"/>
  <c r="D733" i="6"/>
  <c r="D734" i="6"/>
  <c r="D735" i="6"/>
  <c r="D736" i="6"/>
  <c r="D737" i="6"/>
  <c r="D738" i="6"/>
  <c r="D739" i="6"/>
  <c r="D740" i="6"/>
  <c r="D741" i="6"/>
  <c r="D742" i="6"/>
  <c r="D743" i="6"/>
  <c r="D744" i="6"/>
  <c r="D745" i="6"/>
  <c r="D746" i="6"/>
  <c r="D747" i="6"/>
  <c r="D748" i="6"/>
  <c r="D749" i="6"/>
  <c r="D750" i="6"/>
  <c r="D751" i="6"/>
  <c r="D752" i="6"/>
  <c r="D753" i="6"/>
  <c r="D754" i="6"/>
  <c r="D755" i="6"/>
  <c r="D756" i="6"/>
  <c r="D757" i="6"/>
  <c r="D758" i="6"/>
  <c r="D759" i="6"/>
  <c r="D760" i="6"/>
  <c r="D761" i="6"/>
  <c r="D762" i="6"/>
  <c r="D763" i="6"/>
  <c r="D764" i="6"/>
  <c r="D765" i="6"/>
  <c r="D766" i="6"/>
  <c r="D767" i="6"/>
  <c r="D768" i="6"/>
  <c r="D769" i="6"/>
  <c r="D770" i="6"/>
  <c r="D771" i="6"/>
  <c r="D772" i="6"/>
  <c r="D773" i="6"/>
  <c r="D774" i="6"/>
  <c r="D775" i="6"/>
  <c r="D776" i="6"/>
  <c r="D777" i="6"/>
  <c r="D778" i="6"/>
  <c r="D779" i="6"/>
  <c r="D780" i="6"/>
  <c r="D781" i="6"/>
  <c r="D782" i="6"/>
  <c r="D783" i="6"/>
  <c r="D784" i="6"/>
  <c r="D785" i="6"/>
  <c r="D786" i="6"/>
  <c r="D787" i="6"/>
  <c r="D788" i="6"/>
  <c r="D789" i="6"/>
  <c r="D790" i="6"/>
  <c r="D791" i="6"/>
  <c r="D792" i="6"/>
  <c r="D793" i="6"/>
  <c r="D794" i="6"/>
  <c r="D795" i="6"/>
  <c r="D796" i="6"/>
  <c r="D797" i="6"/>
  <c r="D798" i="6"/>
  <c r="D799" i="6"/>
  <c r="D800" i="6"/>
  <c r="D801" i="6"/>
  <c r="D802" i="6"/>
  <c r="D803" i="6"/>
  <c r="D804" i="6"/>
  <c r="D805" i="6"/>
  <c r="D806" i="6"/>
  <c r="D807" i="6"/>
  <c r="D808" i="6"/>
  <c r="D809" i="6"/>
  <c r="D810" i="6"/>
  <c r="D811" i="6"/>
  <c r="D812" i="6"/>
  <c r="D813" i="6"/>
  <c r="D814" i="6"/>
  <c r="D815" i="6"/>
  <c r="D816" i="6"/>
  <c r="D817" i="6"/>
  <c r="D818" i="6"/>
  <c r="D819" i="6"/>
  <c r="D820" i="6"/>
  <c r="D821" i="6"/>
  <c r="D822" i="6"/>
  <c r="D823" i="6"/>
  <c r="D824" i="6"/>
  <c r="D825" i="6"/>
  <c r="D826" i="6"/>
  <c r="D827" i="6"/>
  <c r="D828" i="6"/>
  <c r="D829" i="6"/>
  <c r="D830" i="6"/>
  <c r="D831" i="6"/>
  <c r="D832" i="6"/>
  <c r="D833" i="6"/>
  <c r="D834" i="6"/>
  <c r="D835" i="6"/>
  <c r="D836" i="6"/>
  <c r="D837" i="6"/>
  <c r="D838" i="6"/>
  <c r="D839" i="6"/>
  <c r="D840" i="6"/>
  <c r="D841" i="6"/>
  <c r="D842" i="6"/>
  <c r="D843" i="6"/>
  <c r="D844" i="6"/>
  <c r="D845" i="6"/>
  <c r="D846" i="6"/>
  <c r="D847" i="6"/>
  <c r="D848" i="6"/>
  <c r="D849" i="6"/>
  <c r="D850" i="6"/>
  <c r="D851" i="6"/>
  <c r="D852" i="6"/>
  <c r="D853" i="6"/>
  <c r="D854" i="6"/>
  <c r="D855" i="6"/>
  <c r="D856" i="6"/>
  <c r="D857" i="6"/>
  <c r="D858" i="6"/>
  <c r="D859" i="6"/>
  <c r="D860" i="6"/>
  <c r="D861" i="6"/>
  <c r="D862" i="6"/>
  <c r="D863" i="6"/>
  <c r="D864" i="6"/>
  <c r="D865" i="6"/>
  <c r="D866" i="6"/>
  <c r="D867" i="6"/>
  <c r="D868" i="6"/>
  <c r="D869" i="6"/>
  <c r="D870" i="6"/>
  <c r="D871" i="6"/>
  <c r="D872" i="6"/>
  <c r="D873" i="6"/>
  <c r="D874" i="6"/>
  <c r="D875" i="6"/>
  <c r="D876" i="6"/>
  <c r="D877" i="6"/>
  <c r="D878" i="6"/>
  <c r="D879" i="6"/>
  <c r="D880" i="6"/>
  <c r="D881" i="6"/>
  <c r="D882" i="6"/>
  <c r="D883" i="6"/>
  <c r="D884" i="6"/>
  <c r="D885" i="6"/>
  <c r="D886" i="6"/>
  <c r="D887" i="6"/>
  <c r="D888" i="6"/>
  <c r="D889" i="6"/>
  <c r="D890" i="6"/>
  <c r="D891" i="6"/>
  <c r="D892" i="6"/>
  <c r="D893" i="6"/>
  <c r="D894" i="6"/>
  <c r="D895" i="6"/>
  <c r="D896" i="6"/>
  <c r="D897" i="6"/>
  <c r="D898" i="6"/>
  <c r="D899" i="6"/>
  <c r="D900" i="6"/>
  <c r="D901" i="6"/>
  <c r="D902" i="6"/>
  <c r="D903" i="6"/>
  <c r="D904" i="6"/>
  <c r="D905" i="6"/>
  <c r="D906" i="6"/>
  <c r="D907" i="6"/>
  <c r="D908" i="6"/>
  <c r="D909" i="6"/>
  <c r="D910" i="6"/>
  <c r="D911" i="6"/>
  <c r="D912" i="6"/>
  <c r="D913" i="6"/>
  <c r="D914" i="6"/>
  <c r="D915" i="6"/>
  <c r="D916" i="6"/>
  <c r="D917" i="6"/>
  <c r="D918" i="6"/>
  <c r="D919" i="6"/>
  <c r="D920" i="6"/>
  <c r="D921" i="6"/>
  <c r="D922" i="6"/>
  <c r="D923" i="6"/>
  <c r="D924" i="6"/>
  <c r="D925" i="6"/>
  <c r="D926" i="6"/>
  <c r="D927" i="6"/>
  <c r="D928" i="6"/>
  <c r="D929" i="6"/>
  <c r="D930" i="6"/>
  <c r="D931" i="6"/>
  <c r="D932" i="6"/>
  <c r="D933" i="6"/>
  <c r="D934" i="6"/>
  <c r="D935" i="6"/>
  <c r="D936" i="6"/>
  <c r="D937" i="6"/>
  <c r="D938" i="6"/>
  <c r="D939" i="6"/>
  <c r="D940" i="6"/>
  <c r="D941" i="6"/>
  <c r="D942" i="6"/>
  <c r="D943" i="6"/>
  <c r="D944" i="6"/>
  <c r="D945" i="6"/>
  <c r="D946" i="6"/>
  <c r="D947" i="6"/>
  <c r="D948" i="6"/>
  <c r="D949" i="6"/>
  <c r="D950" i="6"/>
  <c r="D951" i="6"/>
  <c r="D952" i="6"/>
  <c r="D953" i="6"/>
  <c r="D954" i="6"/>
  <c r="D955" i="6"/>
  <c r="D956" i="6"/>
  <c r="D957" i="6"/>
  <c r="D958" i="6"/>
  <c r="D959" i="6"/>
  <c r="D960" i="6"/>
  <c r="D961" i="6"/>
  <c r="D962" i="6"/>
  <c r="D963" i="6"/>
  <c r="D964" i="6"/>
  <c r="D965" i="6"/>
  <c r="D966" i="6"/>
  <c r="D967" i="6"/>
  <c r="D968" i="6"/>
  <c r="D969" i="6"/>
  <c r="D970" i="6"/>
  <c r="D971" i="6"/>
  <c r="D972" i="6"/>
  <c r="D973" i="6"/>
  <c r="D974" i="6"/>
  <c r="D975" i="6"/>
  <c r="D976" i="6"/>
  <c r="D977" i="6"/>
  <c r="D978" i="6"/>
  <c r="D979" i="6"/>
  <c r="D980" i="6"/>
  <c r="D981" i="6"/>
  <c r="D982" i="6"/>
  <c r="D983" i="6"/>
  <c r="D984" i="6"/>
  <c r="D985" i="6"/>
  <c r="D986" i="6"/>
  <c r="D987" i="6"/>
  <c r="D988" i="6"/>
  <c r="D989" i="6"/>
  <c r="D990" i="6"/>
  <c r="D991" i="6"/>
  <c r="D992" i="6"/>
  <c r="C41" i="6"/>
  <c r="C42" i="6"/>
  <c r="C43" i="6"/>
  <c r="C44" i="6"/>
  <c r="C45" i="6"/>
  <c r="C46" i="6"/>
  <c r="C47" i="6"/>
  <c r="C48" i="6"/>
  <c r="C49" i="6"/>
  <c r="C50" i="6"/>
  <c r="C51" i="6"/>
  <c r="C52" i="6"/>
  <c r="C53" i="6"/>
  <c r="C54" i="6"/>
  <c r="C55" i="6"/>
  <c r="C56" i="6"/>
  <c r="C57" i="6"/>
  <c r="C58" i="6"/>
  <c r="C59" i="6"/>
  <c r="C60" i="6"/>
  <c r="C61" i="6"/>
  <c r="C62" i="6"/>
  <c r="C63" i="6"/>
  <c r="C64" i="6"/>
  <c r="C65" i="6"/>
  <c r="C66" i="6"/>
  <c r="C67" i="6"/>
  <c r="C68" i="6"/>
  <c r="C69" i="6"/>
  <c r="C70" i="6"/>
  <c r="C71" i="6"/>
  <c r="C72" i="6"/>
  <c r="C73" i="6"/>
  <c r="C74" i="6"/>
  <c r="C75" i="6"/>
  <c r="C76" i="6"/>
  <c r="C77" i="6"/>
  <c r="C78" i="6"/>
  <c r="C79" i="6"/>
  <c r="C80" i="6"/>
  <c r="C81" i="6"/>
  <c r="C82" i="6"/>
  <c r="C83" i="6"/>
  <c r="C84" i="6"/>
  <c r="C85" i="6"/>
  <c r="C86" i="6"/>
  <c r="C87" i="6"/>
  <c r="C88" i="6"/>
  <c r="C89" i="6"/>
  <c r="C90" i="6"/>
  <c r="C91" i="6"/>
  <c r="C92" i="6"/>
  <c r="C93" i="6"/>
  <c r="C94" i="6"/>
  <c r="C95" i="6"/>
  <c r="C96" i="6"/>
  <c r="C97" i="6"/>
  <c r="C98" i="6"/>
  <c r="C99" i="6"/>
  <c r="C100" i="6"/>
  <c r="C101" i="6"/>
  <c r="C102" i="6"/>
  <c r="C103" i="6"/>
  <c r="C104" i="6"/>
  <c r="C105" i="6"/>
  <c r="C106" i="6"/>
  <c r="C107" i="6"/>
  <c r="C108" i="6"/>
  <c r="C109" i="6"/>
  <c r="C110" i="6"/>
  <c r="C111" i="6"/>
  <c r="C112" i="6"/>
  <c r="C113" i="6"/>
  <c r="C114" i="6"/>
  <c r="C115" i="6"/>
  <c r="C116" i="6"/>
  <c r="C117" i="6"/>
  <c r="C118" i="6"/>
  <c r="C119" i="6"/>
  <c r="C120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 l="1"/>
  <c r="C121" i="6"/>
  <c r="E121" i="6"/>
  <c r="F121" i="6"/>
  <c r="B122" i="6"/>
  <c r="C122" i="6"/>
  <c r="E122" i="6"/>
  <c r="F122" i="6"/>
  <c r="B123" i="6"/>
  <c r="C123" i="6"/>
  <c r="E123" i="6"/>
  <c r="F123" i="6"/>
  <c r="B124" i="6"/>
  <c r="C124" i="6"/>
  <c r="E124" i="6"/>
  <c r="F124" i="6"/>
  <c r="B125" i="6"/>
  <c r="C125" i="6"/>
  <c r="E125" i="6"/>
  <c r="F125" i="6"/>
  <c r="B126" i="6"/>
  <c r="C126" i="6"/>
  <c r="E126" i="6"/>
  <c r="F126" i="6"/>
  <c r="B127" i="6"/>
  <c r="C127" i="6"/>
  <c r="E127" i="6"/>
  <c r="F127" i="6"/>
  <c r="B128" i="6"/>
  <c r="C128" i="6"/>
  <c r="E128" i="6"/>
  <c r="F128" i="6"/>
  <c r="B129" i="6"/>
  <c r="C129" i="6"/>
  <c r="E129" i="6"/>
  <c r="F129" i="6"/>
  <c r="B130" i="6"/>
  <c r="C130" i="6"/>
  <c r="E130" i="6"/>
  <c r="F130" i="6"/>
  <c r="B131" i="6"/>
  <c r="C131" i="6"/>
  <c r="E131" i="6"/>
  <c r="F131" i="6"/>
  <c r="B132" i="6"/>
  <c r="C132" i="6"/>
  <c r="E132" i="6"/>
  <c r="F132" i="6"/>
  <c r="B133" i="6"/>
  <c r="C133" i="6"/>
  <c r="E133" i="6"/>
  <c r="F133" i="6"/>
  <c r="B134" i="6"/>
  <c r="C134" i="6"/>
  <c r="E134" i="6"/>
  <c r="F134" i="6"/>
  <c r="B135" i="6"/>
  <c r="C135" i="6"/>
  <c r="E135" i="6"/>
  <c r="F135" i="6"/>
  <c r="B136" i="6"/>
  <c r="C136" i="6"/>
  <c r="E136" i="6"/>
  <c r="F136" i="6"/>
  <c r="B137" i="6"/>
  <c r="C137" i="6"/>
  <c r="E137" i="6"/>
  <c r="F137" i="6"/>
  <c r="B138" i="6"/>
  <c r="C138" i="6"/>
  <c r="E138" i="6"/>
  <c r="F138" i="6"/>
  <c r="B139" i="6"/>
  <c r="C139" i="6"/>
  <c r="E139" i="6"/>
  <c r="F139" i="6"/>
  <c r="B140" i="6"/>
  <c r="C140" i="6"/>
  <c r="E140" i="6"/>
  <c r="F140" i="6"/>
  <c r="B141" i="6"/>
  <c r="C141" i="6"/>
  <c r="E141" i="6"/>
  <c r="F141" i="6"/>
  <c r="B142" i="6"/>
  <c r="C142" i="6"/>
  <c r="E142" i="6"/>
  <c r="F142" i="6"/>
  <c r="B143" i="6"/>
  <c r="C143" i="6"/>
  <c r="E143" i="6"/>
  <c r="F143" i="6"/>
  <c r="B144" i="6"/>
  <c r="C144" i="6"/>
  <c r="E144" i="6"/>
  <c r="F144" i="6"/>
  <c r="B145" i="6"/>
  <c r="C145" i="6"/>
  <c r="E145" i="6"/>
  <c r="F145" i="6"/>
  <c r="B146" i="6"/>
  <c r="C146" i="6"/>
  <c r="E146" i="6"/>
  <c r="F146" i="6"/>
  <c r="B147" i="6"/>
  <c r="C147" i="6"/>
  <c r="E147" i="6"/>
  <c r="F147" i="6"/>
  <c r="B148" i="6"/>
  <c r="C148" i="6"/>
  <c r="E148" i="6"/>
  <c r="F148" i="6"/>
  <c r="B149" i="6"/>
  <c r="C149" i="6"/>
  <c r="E149" i="6"/>
  <c r="F149" i="6"/>
  <c r="B150" i="6"/>
  <c r="C150" i="6"/>
  <c r="E150" i="6"/>
  <c r="F150" i="6"/>
  <c r="B151" i="6"/>
  <c r="C151" i="6"/>
  <c r="E151" i="6"/>
  <c r="F151" i="6"/>
  <c r="B152" i="6"/>
  <c r="C152" i="6"/>
  <c r="E152" i="6"/>
  <c r="F152" i="6"/>
  <c r="B153" i="6"/>
  <c r="C153" i="6"/>
  <c r="E153" i="6"/>
  <c r="F153" i="6"/>
  <c r="B154" i="6"/>
  <c r="C154" i="6"/>
  <c r="E154" i="6"/>
  <c r="F154" i="6"/>
  <c r="B155" i="6"/>
  <c r="C155" i="6"/>
  <c r="E155" i="6"/>
  <c r="F155" i="6"/>
  <c r="B156" i="6"/>
  <c r="C156" i="6"/>
  <c r="E156" i="6"/>
  <c r="F156" i="6"/>
  <c r="B157" i="6"/>
  <c r="C157" i="6"/>
  <c r="E157" i="6"/>
  <c r="F157" i="6"/>
  <c r="B158" i="6"/>
  <c r="C158" i="6"/>
  <c r="E158" i="6"/>
  <c r="F158" i="6"/>
  <c r="B159" i="6"/>
  <c r="C159" i="6"/>
  <c r="E159" i="6"/>
  <c r="F159" i="6"/>
  <c r="B160" i="6"/>
  <c r="C160" i="6"/>
  <c r="E160" i="6"/>
  <c r="F160" i="6"/>
  <c r="B161" i="6"/>
  <c r="C161" i="6"/>
  <c r="E161" i="6"/>
  <c r="F161" i="6"/>
  <c r="B162" i="6"/>
  <c r="C162" i="6"/>
  <c r="E162" i="6"/>
  <c r="F162" i="6"/>
  <c r="B163" i="6"/>
  <c r="C163" i="6"/>
  <c r="E163" i="6"/>
  <c r="F163" i="6"/>
  <c r="B164" i="6"/>
  <c r="C164" i="6"/>
  <c r="E164" i="6"/>
  <c r="F164" i="6"/>
  <c r="B165" i="6"/>
  <c r="C165" i="6"/>
  <c r="E165" i="6"/>
  <c r="F165" i="6"/>
  <c r="B166" i="6"/>
  <c r="C166" i="6"/>
  <c r="E166" i="6"/>
  <c r="F166" i="6"/>
  <c r="B167" i="6"/>
  <c r="C167" i="6"/>
  <c r="E167" i="6"/>
  <c r="F167" i="6"/>
  <c r="B168" i="6"/>
  <c r="C168" i="6"/>
  <c r="E168" i="6"/>
  <c r="F168" i="6"/>
  <c r="B169" i="6"/>
  <c r="C169" i="6"/>
  <c r="E169" i="6"/>
  <c r="F169" i="6"/>
  <c r="B170" i="6"/>
  <c r="C170" i="6"/>
  <c r="E170" i="6"/>
  <c r="F170" i="6"/>
  <c r="B171" i="6"/>
  <c r="C171" i="6"/>
  <c r="E171" i="6"/>
  <c r="F171" i="6"/>
  <c r="B172" i="6"/>
  <c r="C172" i="6"/>
  <c r="E172" i="6"/>
  <c r="F172" i="6"/>
  <c r="B173" i="6"/>
  <c r="C173" i="6"/>
  <c r="E173" i="6"/>
  <c r="F173" i="6"/>
  <c r="B174" i="6"/>
  <c r="C174" i="6"/>
  <c r="E174" i="6"/>
  <c r="F174" i="6"/>
  <c r="B175" i="6"/>
  <c r="C175" i="6"/>
  <c r="E175" i="6"/>
  <c r="F175" i="6"/>
  <c r="B176" i="6"/>
  <c r="C176" i="6"/>
  <c r="E176" i="6"/>
  <c r="F176" i="6"/>
  <c r="B177" i="6"/>
  <c r="C177" i="6"/>
  <c r="E177" i="6"/>
  <c r="F177" i="6"/>
  <c r="B178" i="6"/>
  <c r="C178" i="6"/>
  <c r="E178" i="6"/>
  <c r="F178" i="6"/>
  <c r="B179" i="6"/>
  <c r="C179" i="6"/>
  <c r="E179" i="6"/>
  <c r="F179" i="6"/>
  <c r="B180" i="6"/>
  <c r="C180" i="6"/>
  <c r="E180" i="6"/>
  <c r="F180" i="6"/>
  <c r="B181" i="6"/>
  <c r="C181" i="6"/>
  <c r="E181" i="6"/>
  <c r="F181" i="6"/>
  <c r="B182" i="6"/>
  <c r="C182" i="6"/>
  <c r="E182" i="6"/>
  <c r="F182" i="6"/>
  <c r="B183" i="6"/>
  <c r="C183" i="6"/>
  <c r="E183" i="6"/>
  <c r="F183" i="6"/>
  <c r="B184" i="6"/>
  <c r="C184" i="6"/>
  <c r="E184" i="6"/>
  <c r="F184" i="6"/>
  <c r="B185" i="6"/>
  <c r="C185" i="6"/>
  <c r="E185" i="6"/>
  <c r="F185" i="6"/>
  <c r="B186" i="6"/>
  <c r="C186" i="6"/>
  <c r="E186" i="6"/>
  <c r="F186" i="6"/>
  <c r="B187" i="6"/>
  <c r="C187" i="6"/>
  <c r="E187" i="6"/>
  <c r="F187" i="6"/>
  <c r="B188" i="6"/>
  <c r="C188" i="6"/>
  <c r="E188" i="6"/>
  <c r="F188" i="6"/>
  <c r="B189" i="6"/>
  <c r="C189" i="6"/>
  <c r="E189" i="6"/>
  <c r="F189" i="6"/>
  <c r="B190" i="6"/>
  <c r="C190" i="6"/>
  <c r="E190" i="6"/>
  <c r="F190" i="6"/>
  <c r="B191" i="6"/>
  <c r="C191" i="6"/>
  <c r="E191" i="6"/>
  <c r="F191" i="6"/>
  <c r="B192" i="6"/>
  <c r="C192" i="6"/>
  <c r="E192" i="6"/>
  <c r="F192" i="6"/>
  <c r="B193" i="6"/>
  <c r="C193" i="6"/>
  <c r="E193" i="6"/>
  <c r="F193" i="6"/>
  <c r="B194" i="6"/>
  <c r="C194" i="6"/>
  <c r="E194" i="6"/>
  <c r="F194" i="6"/>
  <c r="B195" i="6"/>
  <c r="C195" i="6"/>
  <c r="E195" i="6"/>
  <c r="F195" i="6"/>
  <c r="B196" i="6"/>
  <c r="C196" i="6"/>
  <c r="E196" i="6"/>
  <c r="F196" i="6"/>
  <c r="B197" i="6"/>
  <c r="C197" i="6"/>
  <c r="E197" i="6"/>
  <c r="F197" i="6"/>
  <c r="B198" i="6"/>
  <c r="C198" i="6"/>
  <c r="E198" i="6"/>
  <c r="F198" i="6"/>
  <c r="B199" i="6"/>
  <c r="C199" i="6"/>
  <c r="E199" i="6"/>
  <c r="F199" i="6"/>
  <c r="B200" i="6"/>
  <c r="C200" i="6"/>
  <c r="E200" i="6"/>
  <c r="F200" i="6"/>
  <c r="B201" i="6"/>
  <c r="C201" i="6"/>
  <c r="E201" i="6"/>
  <c r="F201" i="6"/>
  <c r="B202" i="6"/>
  <c r="C202" i="6"/>
  <c r="E202" i="6"/>
  <c r="F202" i="6"/>
  <c r="B203" i="6"/>
  <c r="C203" i="6"/>
  <c r="E203" i="6"/>
  <c r="F203" i="6"/>
  <c r="B204" i="6"/>
  <c r="C204" i="6"/>
  <c r="E204" i="6"/>
  <c r="F204" i="6"/>
  <c r="B205" i="6"/>
  <c r="C205" i="6"/>
  <c r="E205" i="6"/>
  <c r="F205" i="6"/>
  <c r="B206" i="6"/>
  <c r="C206" i="6"/>
  <c r="E206" i="6"/>
  <c r="F206" i="6"/>
  <c r="B207" i="6"/>
  <c r="C207" i="6"/>
  <c r="E207" i="6"/>
  <c r="F207" i="6"/>
  <c r="B208" i="6"/>
  <c r="C208" i="6"/>
  <c r="E208" i="6"/>
  <c r="F208" i="6"/>
  <c r="B209" i="6"/>
  <c r="C209" i="6"/>
  <c r="E209" i="6"/>
  <c r="F209" i="6"/>
  <c r="B210" i="6"/>
  <c r="C210" i="6"/>
  <c r="E210" i="6"/>
  <c r="F210" i="6"/>
  <c r="B211" i="6"/>
  <c r="C211" i="6"/>
  <c r="E211" i="6"/>
  <c r="F211" i="6"/>
  <c r="B212" i="6"/>
  <c r="C212" i="6"/>
  <c r="E212" i="6"/>
  <c r="F212" i="6"/>
  <c r="B213" i="6"/>
  <c r="C213" i="6"/>
  <c r="E213" i="6"/>
  <c r="F213" i="6"/>
  <c r="B214" i="6"/>
  <c r="C214" i="6"/>
  <c r="E214" i="6"/>
  <c r="F214" i="6"/>
  <c r="B215" i="6"/>
  <c r="C215" i="6"/>
  <c r="E215" i="6"/>
  <c r="F215" i="6"/>
  <c r="B216" i="6"/>
  <c r="C216" i="6"/>
  <c r="E216" i="6"/>
  <c r="F216" i="6"/>
  <c r="B217" i="6"/>
  <c r="C217" i="6"/>
  <c r="E217" i="6"/>
  <c r="F217" i="6"/>
  <c r="B218" i="6"/>
  <c r="C218" i="6"/>
  <c r="E218" i="6"/>
  <c r="F218" i="6"/>
  <c r="B219" i="6"/>
  <c r="C219" i="6"/>
  <c r="E219" i="6"/>
  <c r="F219" i="6"/>
  <c r="B220" i="6"/>
  <c r="C220" i="6"/>
  <c r="E220" i="6"/>
  <c r="F220" i="6"/>
  <c r="B221" i="6"/>
  <c r="C221" i="6"/>
  <c r="E221" i="6"/>
  <c r="F221" i="6"/>
  <c r="B222" i="6"/>
  <c r="C222" i="6"/>
  <c r="E222" i="6"/>
  <c r="F222" i="6"/>
  <c r="B223" i="6"/>
  <c r="C223" i="6"/>
  <c r="E223" i="6"/>
  <c r="F223" i="6"/>
  <c r="B224" i="6"/>
  <c r="C224" i="6"/>
  <c r="E224" i="6"/>
  <c r="F224" i="6"/>
  <c r="B225" i="6"/>
  <c r="C225" i="6"/>
  <c r="E225" i="6"/>
  <c r="F225" i="6"/>
  <c r="B226" i="6"/>
  <c r="C226" i="6"/>
  <c r="E226" i="6"/>
  <c r="F226" i="6"/>
  <c r="B227" i="6"/>
  <c r="C227" i="6"/>
  <c r="E227" i="6"/>
  <c r="F227" i="6"/>
  <c r="B228" i="6"/>
  <c r="C228" i="6"/>
  <c r="E228" i="6"/>
  <c r="F228" i="6"/>
  <c r="B229" i="6"/>
  <c r="C229" i="6"/>
  <c r="E229" i="6"/>
  <c r="F229" i="6"/>
  <c r="B230" i="6"/>
  <c r="C230" i="6"/>
  <c r="E230" i="6"/>
  <c r="F230" i="6"/>
  <c r="B231" i="6"/>
  <c r="C231" i="6"/>
  <c r="E231" i="6"/>
  <c r="F231" i="6"/>
  <c r="B232" i="6"/>
  <c r="C232" i="6"/>
  <c r="E232" i="6"/>
  <c r="F232" i="6"/>
  <c r="B233" i="6"/>
  <c r="C233" i="6"/>
  <c r="E233" i="6"/>
  <c r="F233" i="6"/>
  <c r="B234" i="6"/>
  <c r="C234" i="6"/>
  <c r="E234" i="6"/>
  <c r="F234" i="6"/>
  <c r="B235" i="6"/>
  <c r="C235" i="6"/>
  <c r="E235" i="6"/>
  <c r="F235" i="6"/>
  <c r="B236" i="6"/>
  <c r="C236" i="6"/>
  <c r="E236" i="6"/>
  <c r="F236" i="6"/>
  <c r="B237" i="6"/>
  <c r="C237" i="6"/>
  <c r="E237" i="6"/>
  <c r="F237" i="6"/>
  <c r="B238" i="6"/>
  <c r="C238" i="6"/>
  <c r="E238" i="6"/>
  <c r="F238" i="6"/>
  <c r="B239" i="6"/>
  <c r="C239" i="6"/>
  <c r="E239" i="6"/>
  <c r="F239" i="6"/>
  <c r="B240" i="6"/>
  <c r="C240" i="6"/>
  <c r="E240" i="6"/>
  <c r="F240" i="6"/>
  <c r="B241" i="6"/>
  <c r="C241" i="6"/>
  <c r="E241" i="6"/>
  <c r="F241" i="6"/>
  <c r="B242" i="6"/>
  <c r="C242" i="6"/>
  <c r="E242" i="6"/>
  <c r="F242" i="6"/>
  <c r="B243" i="6"/>
  <c r="C243" i="6"/>
  <c r="E243" i="6"/>
  <c r="F243" i="6"/>
  <c r="B244" i="6"/>
  <c r="C244" i="6"/>
  <c r="E244" i="6"/>
  <c r="F244" i="6"/>
  <c r="B245" i="6"/>
  <c r="C245" i="6"/>
  <c r="E245" i="6"/>
  <c r="F245" i="6"/>
  <c r="B246" i="6"/>
  <c r="C246" i="6"/>
  <c r="E246" i="6"/>
  <c r="F246" i="6"/>
  <c r="B247" i="6"/>
  <c r="C247" i="6"/>
  <c r="E247" i="6"/>
  <c r="F247" i="6"/>
  <c r="B248" i="6"/>
  <c r="C248" i="6"/>
  <c r="E248" i="6"/>
  <c r="F248" i="6"/>
  <c r="B249" i="6"/>
  <c r="C249" i="6"/>
  <c r="E249" i="6"/>
  <c r="F249" i="6"/>
  <c r="B250" i="6"/>
  <c r="C250" i="6"/>
  <c r="E250" i="6"/>
  <c r="F250" i="6"/>
  <c r="B251" i="6"/>
  <c r="C251" i="6"/>
  <c r="E251" i="6"/>
  <c r="F251" i="6"/>
  <c r="B252" i="6"/>
  <c r="C252" i="6"/>
  <c r="E252" i="6"/>
  <c r="F252" i="6"/>
  <c r="B253" i="6"/>
  <c r="C253" i="6"/>
  <c r="E253" i="6"/>
  <c r="F253" i="6"/>
  <c r="B254" i="6"/>
  <c r="C254" i="6"/>
  <c r="E254" i="6"/>
  <c r="F254" i="6"/>
  <c r="B255" i="6"/>
  <c r="C255" i="6"/>
  <c r="E255" i="6"/>
  <c r="F255" i="6"/>
  <c r="B256" i="6"/>
  <c r="C256" i="6"/>
  <c r="E256" i="6"/>
  <c r="F256" i="6"/>
  <c r="B257" i="6"/>
  <c r="C257" i="6"/>
  <c r="E257" i="6"/>
  <c r="F257" i="6"/>
  <c r="B258" i="6"/>
  <c r="C258" i="6"/>
  <c r="E258" i="6"/>
  <c r="F258" i="6"/>
  <c r="B259" i="6"/>
  <c r="C259" i="6"/>
  <c r="E259" i="6"/>
  <c r="F259" i="6"/>
  <c r="B260" i="6"/>
  <c r="C260" i="6"/>
  <c r="E260" i="6"/>
  <c r="F260" i="6"/>
  <c r="B261" i="6"/>
  <c r="C261" i="6"/>
  <c r="E261" i="6"/>
  <c r="F261" i="6"/>
  <c r="B262" i="6"/>
  <c r="C262" i="6"/>
  <c r="E262" i="6"/>
  <c r="F262" i="6"/>
  <c r="B263" i="6"/>
  <c r="C263" i="6"/>
  <c r="E263" i="6"/>
  <c r="F263" i="6"/>
  <c r="B264" i="6"/>
  <c r="C264" i="6"/>
  <c r="E264" i="6"/>
  <c r="F264" i="6"/>
  <c r="B265" i="6"/>
  <c r="C265" i="6"/>
  <c r="E265" i="6"/>
  <c r="F265" i="6"/>
  <c r="B266" i="6"/>
  <c r="C266" i="6"/>
  <c r="E266" i="6"/>
  <c r="F266" i="6"/>
  <c r="B267" i="6"/>
  <c r="C267" i="6"/>
  <c r="E267" i="6"/>
  <c r="F267" i="6"/>
  <c r="B268" i="6"/>
  <c r="C268" i="6"/>
  <c r="E268" i="6"/>
  <c r="F268" i="6"/>
  <c r="B269" i="6"/>
  <c r="C269" i="6"/>
  <c r="E269" i="6"/>
  <c r="F269" i="6"/>
  <c r="B270" i="6"/>
  <c r="C270" i="6"/>
  <c r="E270" i="6"/>
  <c r="F270" i="6"/>
  <c r="B271" i="6"/>
  <c r="C271" i="6"/>
  <c r="E271" i="6"/>
  <c r="F271" i="6"/>
  <c r="B272" i="6"/>
  <c r="C272" i="6"/>
  <c r="E272" i="6"/>
  <c r="F272" i="6"/>
  <c r="B273" i="6"/>
  <c r="C273" i="6"/>
  <c r="E273" i="6"/>
  <c r="F273" i="6"/>
  <c r="B274" i="6"/>
  <c r="C274" i="6"/>
  <c r="E274" i="6"/>
  <c r="F274" i="6"/>
  <c r="B275" i="6"/>
  <c r="C275" i="6"/>
  <c r="E275" i="6"/>
  <c r="F275" i="6"/>
  <c r="B276" i="6"/>
  <c r="C276" i="6"/>
  <c r="E276" i="6"/>
  <c r="F276" i="6"/>
  <c r="B277" i="6"/>
  <c r="C277" i="6"/>
  <c r="E277" i="6"/>
  <c r="F277" i="6"/>
  <c r="B278" i="6"/>
  <c r="C278" i="6"/>
  <c r="E278" i="6"/>
  <c r="F278" i="6"/>
  <c r="B279" i="6"/>
  <c r="C279" i="6"/>
  <c r="E279" i="6"/>
  <c r="F279" i="6"/>
  <c r="B280" i="6"/>
  <c r="C280" i="6"/>
  <c r="E280" i="6"/>
  <c r="F280" i="6"/>
  <c r="B281" i="6"/>
  <c r="C281" i="6"/>
  <c r="E281" i="6"/>
  <c r="F281" i="6"/>
  <c r="B282" i="6"/>
  <c r="C282" i="6"/>
  <c r="E282" i="6"/>
  <c r="F282" i="6"/>
  <c r="B283" i="6"/>
  <c r="C283" i="6"/>
  <c r="E283" i="6"/>
  <c r="F283" i="6"/>
  <c r="B284" i="6"/>
  <c r="C284" i="6"/>
  <c r="E284" i="6"/>
  <c r="F284" i="6"/>
  <c r="B285" i="6"/>
  <c r="C285" i="6"/>
  <c r="E285" i="6"/>
  <c r="F285" i="6"/>
  <c r="B286" i="6"/>
  <c r="C286" i="6"/>
  <c r="E286" i="6"/>
  <c r="F286" i="6"/>
  <c r="B287" i="6"/>
  <c r="C287" i="6"/>
  <c r="E287" i="6"/>
  <c r="F287" i="6"/>
  <c r="B288" i="6"/>
  <c r="C288" i="6"/>
  <c r="E288" i="6"/>
  <c r="F288" i="6"/>
  <c r="B289" i="6"/>
  <c r="C289" i="6"/>
  <c r="E289" i="6"/>
  <c r="F289" i="6"/>
  <c r="B290" i="6"/>
  <c r="C290" i="6"/>
  <c r="E290" i="6"/>
  <c r="F290" i="6"/>
  <c r="B291" i="6"/>
  <c r="C291" i="6"/>
  <c r="E291" i="6"/>
  <c r="F291" i="6"/>
  <c r="B292" i="6"/>
  <c r="C292" i="6"/>
  <c r="E292" i="6"/>
  <c r="F292" i="6"/>
  <c r="B293" i="6"/>
  <c r="C293" i="6"/>
  <c r="E293" i="6"/>
  <c r="F293" i="6"/>
  <c r="B294" i="6"/>
  <c r="C294" i="6"/>
  <c r="E294" i="6"/>
  <c r="F294" i="6"/>
  <c r="B295" i="6"/>
  <c r="C295" i="6"/>
  <c r="E295" i="6"/>
  <c r="F295" i="6"/>
  <c r="B296" i="6"/>
  <c r="C296" i="6"/>
  <c r="E296" i="6"/>
  <c r="F296" i="6"/>
  <c r="B297" i="6"/>
  <c r="C297" i="6"/>
  <c r="E297" i="6"/>
  <c r="F297" i="6"/>
  <c r="B298" i="6"/>
  <c r="C298" i="6"/>
  <c r="E298" i="6"/>
  <c r="F298" i="6"/>
  <c r="B299" i="6"/>
  <c r="C299" i="6"/>
  <c r="E299" i="6"/>
  <c r="F299" i="6"/>
  <c r="B300" i="6"/>
  <c r="C300" i="6"/>
  <c r="E300" i="6"/>
  <c r="F300" i="6"/>
  <c r="B301" i="6"/>
  <c r="C301" i="6"/>
  <c r="E301" i="6"/>
  <c r="F301" i="6"/>
  <c r="B302" i="6"/>
  <c r="C302" i="6"/>
  <c r="E302" i="6"/>
  <c r="F302" i="6"/>
  <c r="B303" i="6"/>
  <c r="C303" i="6"/>
  <c r="E303" i="6"/>
  <c r="F303" i="6"/>
  <c r="B304" i="6"/>
  <c r="C304" i="6"/>
  <c r="E304" i="6"/>
  <c r="F304" i="6"/>
  <c r="B305" i="6"/>
  <c r="C305" i="6"/>
  <c r="E305" i="6"/>
  <c r="F305" i="6"/>
  <c r="B306" i="6"/>
  <c r="C306" i="6"/>
  <c r="E306" i="6"/>
  <c r="F306" i="6"/>
  <c r="B307" i="6"/>
  <c r="C307" i="6"/>
  <c r="E307" i="6"/>
  <c r="F307" i="6"/>
  <c r="B308" i="6"/>
  <c r="C308" i="6"/>
  <c r="E308" i="6"/>
  <c r="F308" i="6"/>
  <c r="B309" i="6"/>
  <c r="C309" i="6"/>
  <c r="E309" i="6"/>
  <c r="F309" i="6"/>
  <c r="B310" i="6"/>
  <c r="C310" i="6"/>
  <c r="E310" i="6"/>
  <c r="F310" i="6"/>
  <c r="B311" i="6"/>
  <c r="C311" i="6"/>
  <c r="E311" i="6"/>
  <c r="F311" i="6"/>
  <c r="B312" i="6"/>
  <c r="C312" i="6"/>
  <c r="E312" i="6"/>
  <c r="F312" i="6"/>
  <c r="B313" i="6"/>
  <c r="C313" i="6"/>
  <c r="E313" i="6"/>
  <c r="F313" i="6"/>
  <c r="B314" i="6"/>
  <c r="C314" i="6"/>
  <c r="E314" i="6"/>
  <c r="F314" i="6"/>
  <c r="B315" i="6"/>
  <c r="C315" i="6"/>
  <c r="E315" i="6"/>
  <c r="F315" i="6"/>
  <c r="B316" i="6"/>
  <c r="C316" i="6"/>
  <c r="E316" i="6"/>
  <c r="F316" i="6"/>
  <c r="B317" i="6"/>
  <c r="C317" i="6"/>
  <c r="E317" i="6"/>
  <c r="F317" i="6"/>
  <c r="B318" i="6"/>
  <c r="C318" i="6"/>
  <c r="E318" i="6"/>
  <c r="F318" i="6"/>
  <c r="B319" i="6"/>
  <c r="C319" i="6"/>
  <c r="E319" i="6"/>
  <c r="F319" i="6"/>
  <c r="B320" i="6"/>
  <c r="C320" i="6"/>
  <c r="E320" i="6"/>
  <c r="F320" i="6"/>
  <c r="B321" i="6"/>
  <c r="C321" i="6"/>
  <c r="E321" i="6"/>
  <c r="F321" i="6"/>
  <c r="B322" i="6"/>
  <c r="C322" i="6"/>
  <c r="E322" i="6"/>
  <c r="F322" i="6"/>
  <c r="B323" i="6"/>
  <c r="C323" i="6"/>
  <c r="E323" i="6"/>
  <c r="F323" i="6"/>
  <c r="B324" i="6"/>
  <c r="C324" i="6"/>
  <c r="E324" i="6"/>
  <c r="F324" i="6"/>
  <c r="B325" i="6"/>
  <c r="C325" i="6"/>
  <c r="E325" i="6"/>
  <c r="F325" i="6"/>
  <c r="B326" i="6"/>
  <c r="C326" i="6"/>
  <c r="E326" i="6"/>
  <c r="F326" i="6"/>
  <c r="B327" i="6"/>
  <c r="C327" i="6"/>
  <c r="E327" i="6"/>
  <c r="F327" i="6"/>
  <c r="B328" i="6"/>
  <c r="C328" i="6"/>
  <c r="E328" i="6"/>
  <c r="F328" i="6"/>
  <c r="B329" i="6"/>
  <c r="C329" i="6"/>
  <c r="E329" i="6"/>
  <c r="F329" i="6"/>
  <c r="B330" i="6"/>
  <c r="C330" i="6"/>
  <c r="E330" i="6"/>
  <c r="F330" i="6"/>
  <c r="B331" i="6"/>
  <c r="C331" i="6"/>
  <c r="E331" i="6"/>
  <c r="F331" i="6"/>
  <c r="B332" i="6"/>
  <c r="C332" i="6"/>
  <c r="E332" i="6"/>
  <c r="F332" i="6"/>
  <c r="B333" i="6"/>
  <c r="C333" i="6"/>
  <c r="E333" i="6"/>
  <c r="F333" i="6"/>
  <c r="B334" i="6"/>
  <c r="C334" i="6"/>
  <c r="E334" i="6"/>
  <c r="F334" i="6"/>
  <c r="B335" i="6"/>
  <c r="C335" i="6"/>
  <c r="E335" i="6"/>
  <c r="F335" i="6"/>
  <c r="B336" i="6"/>
  <c r="C336" i="6"/>
  <c r="E336" i="6"/>
  <c r="F336" i="6"/>
  <c r="B337" i="6"/>
  <c r="C337" i="6"/>
  <c r="E337" i="6"/>
  <c r="F337" i="6"/>
  <c r="B338" i="6"/>
  <c r="C338" i="6"/>
  <c r="E338" i="6"/>
  <c r="F338" i="6"/>
  <c r="B339" i="6"/>
  <c r="C339" i="6"/>
  <c r="E339" i="6"/>
  <c r="F339" i="6"/>
  <c r="B340" i="6"/>
  <c r="C340" i="6"/>
  <c r="E340" i="6"/>
  <c r="F340" i="6"/>
  <c r="B341" i="6"/>
  <c r="C341" i="6"/>
  <c r="E341" i="6"/>
  <c r="F341" i="6"/>
  <c r="B342" i="6"/>
  <c r="C342" i="6"/>
  <c r="E342" i="6"/>
  <c r="F342" i="6"/>
  <c r="B343" i="6"/>
  <c r="C343" i="6"/>
  <c r="E343" i="6"/>
  <c r="F343" i="6"/>
  <c r="B344" i="6"/>
  <c r="C344" i="6"/>
  <c r="E344" i="6"/>
  <c r="F344" i="6"/>
  <c r="B345" i="6"/>
  <c r="C345" i="6"/>
  <c r="E345" i="6"/>
  <c r="F345" i="6"/>
  <c r="B346" i="6"/>
  <c r="C346" i="6"/>
  <c r="E346" i="6"/>
  <c r="F346" i="6"/>
  <c r="B347" i="6"/>
  <c r="C347" i="6"/>
  <c r="E347" i="6"/>
  <c r="F347" i="6"/>
  <c r="B348" i="6"/>
  <c r="C348" i="6"/>
  <c r="E348" i="6"/>
  <c r="F348" i="6"/>
  <c r="B349" i="6"/>
  <c r="C349" i="6"/>
  <c r="E349" i="6"/>
  <c r="F349" i="6"/>
  <c r="B350" i="6"/>
  <c r="C350" i="6"/>
  <c r="E350" i="6"/>
  <c r="F350" i="6"/>
  <c r="B351" i="6"/>
  <c r="C351" i="6"/>
  <c r="E351" i="6"/>
  <c r="F351" i="6"/>
  <c r="B352" i="6"/>
  <c r="C352" i="6"/>
  <c r="E352" i="6"/>
  <c r="F352" i="6"/>
  <c r="B353" i="6"/>
  <c r="C353" i="6"/>
  <c r="E353" i="6"/>
  <c r="F353" i="6"/>
  <c r="B354" i="6"/>
  <c r="C354" i="6"/>
  <c r="E354" i="6"/>
  <c r="F354" i="6"/>
  <c r="B355" i="6"/>
  <c r="C355" i="6"/>
  <c r="E355" i="6"/>
  <c r="F355" i="6"/>
  <c r="B356" i="6"/>
  <c r="C356" i="6"/>
  <c r="E356" i="6"/>
  <c r="F356" i="6"/>
  <c r="B357" i="6"/>
  <c r="C357" i="6"/>
  <c r="E357" i="6"/>
  <c r="F357" i="6"/>
  <c r="B358" i="6"/>
  <c r="C358" i="6"/>
  <c r="E358" i="6"/>
  <c r="F358" i="6"/>
  <c r="B359" i="6"/>
  <c r="C359" i="6"/>
  <c r="E359" i="6"/>
  <c r="F359" i="6"/>
  <c r="B360" i="6"/>
  <c r="C360" i="6"/>
  <c r="E360" i="6"/>
  <c r="F360" i="6"/>
  <c r="B361" i="6"/>
  <c r="C361" i="6"/>
  <c r="E361" i="6"/>
  <c r="F361" i="6"/>
  <c r="B362" i="6"/>
  <c r="C362" i="6"/>
  <c r="E362" i="6"/>
  <c r="F362" i="6"/>
  <c r="B363" i="6"/>
  <c r="C363" i="6"/>
  <c r="E363" i="6"/>
  <c r="F363" i="6"/>
  <c r="B364" i="6"/>
  <c r="C364" i="6"/>
  <c r="E364" i="6"/>
  <c r="F364" i="6"/>
  <c r="B365" i="6"/>
  <c r="C365" i="6"/>
  <c r="E365" i="6"/>
  <c r="F365" i="6"/>
  <c r="B366" i="6"/>
  <c r="C366" i="6"/>
  <c r="E366" i="6"/>
  <c r="F366" i="6"/>
  <c r="B367" i="6"/>
  <c r="C367" i="6"/>
  <c r="E367" i="6"/>
  <c r="F367" i="6"/>
  <c r="B368" i="6"/>
  <c r="C368" i="6"/>
  <c r="E368" i="6"/>
  <c r="F368" i="6"/>
  <c r="B369" i="6"/>
  <c r="C369" i="6"/>
  <c r="E369" i="6"/>
  <c r="F369" i="6"/>
  <c r="B370" i="6"/>
  <c r="C370" i="6"/>
  <c r="E370" i="6"/>
  <c r="F370" i="6"/>
  <c r="B371" i="6"/>
  <c r="C371" i="6"/>
  <c r="E371" i="6"/>
  <c r="F371" i="6"/>
  <c r="B372" i="6"/>
  <c r="C372" i="6"/>
  <c r="E372" i="6"/>
  <c r="F372" i="6"/>
  <c r="B373" i="6"/>
  <c r="C373" i="6"/>
  <c r="E373" i="6"/>
  <c r="F373" i="6"/>
  <c r="B374" i="6"/>
  <c r="C374" i="6"/>
  <c r="E374" i="6"/>
  <c r="F374" i="6"/>
  <c r="B375" i="6"/>
  <c r="C375" i="6"/>
  <c r="E375" i="6"/>
  <c r="F375" i="6"/>
  <c r="B376" i="6"/>
  <c r="C376" i="6"/>
  <c r="E376" i="6"/>
  <c r="F376" i="6"/>
  <c r="B377" i="6"/>
  <c r="C377" i="6"/>
  <c r="E377" i="6"/>
  <c r="F377" i="6"/>
  <c r="B378" i="6"/>
  <c r="C378" i="6"/>
  <c r="E378" i="6"/>
  <c r="F378" i="6"/>
  <c r="B379" i="6"/>
  <c r="C379" i="6"/>
  <c r="E379" i="6"/>
  <c r="F379" i="6"/>
  <c r="B380" i="6"/>
  <c r="C380" i="6"/>
  <c r="E380" i="6"/>
  <c r="F380" i="6"/>
  <c r="B381" i="6"/>
  <c r="C381" i="6"/>
  <c r="E381" i="6"/>
  <c r="F381" i="6"/>
  <c r="B382" i="6"/>
  <c r="C382" i="6"/>
  <c r="E382" i="6"/>
  <c r="F382" i="6"/>
  <c r="B383" i="6"/>
  <c r="C383" i="6"/>
  <c r="E383" i="6"/>
  <c r="F383" i="6"/>
  <c r="B384" i="6"/>
  <c r="C384" i="6"/>
  <c r="E384" i="6"/>
  <c r="F384" i="6"/>
  <c r="B385" i="6"/>
  <c r="C385" i="6"/>
  <c r="E385" i="6"/>
  <c r="F385" i="6"/>
  <c r="B386" i="6"/>
  <c r="C386" i="6"/>
  <c r="E386" i="6"/>
  <c r="F386" i="6"/>
  <c r="B387" i="6"/>
  <c r="C387" i="6"/>
  <c r="E387" i="6"/>
  <c r="F387" i="6"/>
  <c r="B388" i="6"/>
  <c r="C388" i="6"/>
  <c r="E388" i="6"/>
  <c r="F388" i="6"/>
  <c r="B389" i="6"/>
  <c r="C389" i="6"/>
  <c r="E389" i="6"/>
  <c r="F389" i="6"/>
  <c r="B390" i="6"/>
  <c r="C390" i="6"/>
  <c r="E390" i="6"/>
  <c r="F390" i="6"/>
  <c r="B391" i="6"/>
  <c r="C391" i="6"/>
  <c r="E391" i="6"/>
  <c r="F391" i="6"/>
  <c r="B392" i="6"/>
  <c r="C392" i="6"/>
  <c r="E392" i="6"/>
  <c r="F392" i="6"/>
  <c r="B393" i="6"/>
  <c r="C393" i="6"/>
  <c r="E393" i="6"/>
  <c r="F393" i="6"/>
  <c r="B394" i="6"/>
  <c r="C394" i="6"/>
  <c r="E394" i="6"/>
  <c r="F394" i="6"/>
  <c r="B395" i="6"/>
  <c r="C395" i="6"/>
  <c r="E395" i="6"/>
  <c r="F395" i="6"/>
  <c r="B396" i="6"/>
  <c r="C396" i="6"/>
  <c r="E396" i="6"/>
  <c r="F396" i="6"/>
  <c r="B397" i="6"/>
  <c r="C397" i="6"/>
  <c r="E397" i="6"/>
  <c r="F397" i="6"/>
  <c r="B398" i="6"/>
  <c r="C398" i="6"/>
  <c r="E398" i="6"/>
  <c r="F398" i="6"/>
  <c r="B399" i="6"/>
  <c r="C399" i="6"/>
  <c r="E399" i="6"/>
  <c r="F399" i="6"/>
  <c r="B400" i="6"/>
  <c r="C400" i="6"/>
  <c r="E400" i="6"/>
  <c r="F400" i="6"/>
  <c r="B401" i="6"/>
  <c r="C401" i="6"/>
  <c r="E401" i="6"/>
  <c r="F401" i="6"/>
  <c r="B402" i="6"/>
  <c r="C402" i="6"/>
  <c r="E402" i="6"/>
  <c r="F402" i="6"/>
  <c r="B403" i="6"/>
  <c r="C403" i="6"/>
  <c r="E403" i="6"/>
  <c r="F403" i="6"/>
  <c r="B404" i="6"/>
  <c r="C404" i="6"/>
  <c r="E404" i="6"/>
  <c r="F404" i="6"/>
  <c r="B405" i="6"/>
  <c r="C405" i="6"/>
  <c r="E405" i="6"/>
  <c r="F405" i="6"/>
  <c r="B406" i="6"/>
  <c r="C406" i="6"/>
  <c r="E406" i="6"/>
  <c r="F406" i="6"/>
  <c r="B407" i="6"/>
  <c r="C407" i="6"/>
  <c r="E407" i="6"/>
  <c r="F407" i="6"/>
  <c r="B408" i="6"/>
  <c r="C408" i="6"/>
  <c r="E408" i="6"/>
  <c r="F408" i="6"/>
  <c r="B409" i="6"/>
  <c r="C409" i="6"/>
  <c r="E409" i="6"/>
  <c r="F409" i="6"/>
  <c r="B410" i="6"/>
  <c r="C410" i="6"/>
  <c r="E410" i="6"/>
  <c r="F410" i="6"/>
  <c r="B411" i="6"/>
  <c r="C411" i="6"/>
  <c r="E411" i="6"/>
  <c r="F411" i="6"/>
  <c r="B412" i="6"/>
  <c r="C412" i="6"/>
  <c r="E412" i="6"/>
  <c r="F412" i="6"/>
  <c r="B413" i="6"/>
  <c r="C413" i="6"/>
  <c r="E413" i="6"/>
  <c r="F413" i="6"/>
  <c r="B414" i="6"/>
  <c r="C414" i="6"/>
  <c r="E414" i="6"/>
  <c r="F414" i="6"/>
  <c r="B415" i="6"/>
  <c r="C415" i="6"/>
  <c r="E415" i="6"/>
  <c r="F415" i="6"/>
  <c r="B416" i="6"/>
  <c r="C416" i="6"/>
  <c r="E416" i="6"/>
  <c r="F416" i="6"/>
  <c r="B417" i="6"/>
  <c r="C417" i="6"/>
  <c r="E417" i="6"/>
  <c r="F417" i="6"/>
  <c r="B418" i="6"/>
  <c r="C418" i="6"/>
  <c r="E418" i="6"/>
  <c r="F418" i="6"/>
  <c r="B419" i="6"/>
  <c r="C419" i="6"/>
  <c r="E419" i="6"/>
  <c r="F419" i="6"/>
  <c r="B420" i="6"/>
  <c r="C420" i="6"/>
  <c r="E420" i="6"/>
  <c r="F420" i="6"/>
  <c r="B421" i="6"/>
  <c r="C421" i="6"/>
  <c r="E421" i="6"/>
  <c r="F421" i="6"/>
  <c r="B422" i="6"/>
  <c r="C422" i="6"/>
  <c r="E422" i="6"/>
  <c r="F422" i="6"/>
  <c r="B423" i="6"/>
  <c r="C423" i="6"/>
  <c r="E423" i="6"/>
  <c r="F423" i="6"/>
  <c r="B424" i="6"/>
  <c r="C424" i="6"/>
  <c r="E424" i="6"/>
  <c r="F424" i="6"/>
  <c r="B425" i="6"/>
  <c r="C425" i="6"/>
  <c r="E425" i="6"/>
  <c r="F425" i="6"/>
  <c r="B426" i="6"/>
  <c r="C426" i="6"/>
  <c r="E426" i="6"/>
  <c r="F426" i="6"/>
  <c r="B427" i="6"/>
  <c r="C427" i="6"/>
  <c r="E427" i="6"/>
  <c r="F427" i="6"/>
  <c r="B428" i="6"/>
  <c r="C428" i="6"/>
  <c r="E428" i="6"/>
  <c r="F428" i="6"/>
  <c r="B429" i="6"/>
  <c r="C429" i="6"/>
  <c r="E429" i="6"/>
  <c r="F429" i="6"/>
  <c r="B430" i="6"/>
  <c r="C430" i="6"/>
  <c r="E430" i="6"/>
  <c r="F430" i="6"/>
  <c r="B431" i="6"/>
  <c r="C431" i="6"/>
  <c r="E431" i="6"/>
  <c r="F431" i="6"/>
  <c r="B432" i="6"/>
  <c r="C432" i="6"/>
  <c r="E432" i="6"/>
  <c r="F432" i="6"/>
  <c r="B433" i="6"/>
  <c r="C433" i="6"/>
  <c r="E433" i="6"/>
  <c r="F433" i="6"/>
  <c r="B434" i="6"/>
  <c r="C434" i="6"/>
  <c r="E434" i="6"/>
  <c r="F434" i="6"/>
  <c r="B435" i="6"/>
  <c r="C435" i="6"/>
  <c r="E435" i="6"/>
  <c r="F435" i="6"/>
  <c r="B436" i="6"/>
  <c r="C436" i="6"/>
  <c r="E436" i="6"/>
  <c r="F436" i="6"/>
  <c r="B437" i="6"/>
  <c r="C437" i="6"/>
  <c r="E437" i="6"/>
  <c r="F437" i="6"/>
  <c r="B438" i="6"/>
  <c r="C438" i="6"/>
  <c r="E438" i="6"/>
  <c r="F438" i="6"/>
  <c r="B439" i="6"/>
  <c r="C439" i="6"/>
  <c r="E439" i="6"/>
  <c r="F439" i="6"/>
  <c r="B440" i="6"/>
  <c r="C440" i="6"/>
  <c r="E440" i="6"/>
  <c r="F440" i="6"/>
  <c r="B441" i="6"/>
  <c r="C441" i="6"/>
  <c r="E441" i="6"/>
  <c r="F441" i="6"/>
  <c r="B442" i="6"/>
  <c r="C442" i="6"/>
  <c r="E442" i="6"/>
  <c r="F442" i="6"/>
  <c r="B443" i="6"/>
  <c r="C443" i="6"/>
  <c r="E443" i="6"/>
  <c r="F443" i="6"/>
  <c r="B444" i="6"/>
  <c r="C444" i="6"/>
  <c r="E444" i="6"/>
  <c r="F444" i="6"/>
  <c r="B445" i="6"/>
  <c r="C445" i="6"/>
  <c r="E445" i="6"/>
  <c r="F445" i="6"/>
  <c r="B446" i="6"/>
  <c r="C446" i="6"/>
  <c r="E446" i="6"/>
  <c r="F446" i="6"/>
  <c r="B447" i="6"/>
  <c r="C447" i="6"/>
  <c r="E447" i="6"/>
  <c r="F447" i="6"/>
  <c r="B448" i="6"/>
  <c r="C448" i="6"/>
  <c r="E448" i="6"/>
  <c r="F448" i="6"/>
  <c r="B449" i="6"/>
  <c r="C449" i="6"/>
  <c r="E449" i="6"/>
  <c r="F449" i="6"/>
  <c r="B450" i="6"/>
  <c r="C450" i="6"/>
  <c r="E450" i="6"/>
  <c r="F450" i="6"/>
  <c r="B451" i="6"/>
  <c r="C451" i="6"/>
  <c r="E451" i="6"/>
  <c r="F451" i="6"/>
  <c r="B452" i="6"/>
  <c r="C452" i="6"/>
  <c r="E452" i="6"/>
  <c r="F452" i="6"/>
  <c r="B453" i="6"/>
  <c r="C453" i="6"/>
  <c r="E453" i="6"/>
  <c r="F453" i="6"/>
  <c r="B454" i="6"/>
  <c r="C454" i="6"/>
  <c r="E454" i="6"/>
  <c r="F454" i="6"/>
  <c r="B455" i="6"/>
  <c r="C455" i="6"/>
  <c r="E455" i="6"/>
  <c r="F455" i="6"/>
  <c r="B456" i="6"/>
  <c r="C456" i="6"/>
  <c r="E456" i="6"/>
  <c r="F456" i="6"/>
  <c r="B457" i="6"/>
  <c r="C457" i="6"/>
  <c r="E457" i="6"/>
  <c r="F457" i="6"/>
  <c r="B458" i="6"/>
  <c r="C458" i="6"/>
  <c r="E458" i="6"/>
  <c r="F458" i="6"/>
  <c r="B459" i="6"/>
  <c r="C459" i="6"/>
  <c r="E459" i="6"/>
  <c r="F459" i="6"/>
  <c r="B460" i="6"/>
  <c r="C460" i="6"/>
  <c r="E460" i="6"/>
  <c r="F460" i="6"/>
  <c r="B461" i="6"/>
  <c r="C461" i="6"/>
  <c r="E461" i="6"/>
  <c r="F461" i="6"/>
  <c r="B462" i="6"/>
  <c r="C462" i="6"/>
  <c r="E462" i="6"/>
  <c r="F462" i="6"/>
  <c r="B463" i="6"/>
  <c r="C463" i="6"/>
  <c r="E463" i="6"/>
  <c r="F463" i="6"/>
  <c r="B464" i="6"/>
  <c r="C464" i="6"/>
  <c r="E464" i="6"/>
  <c r="F464" i="6"/>
  <c r="B465" i="6"/>
  <c r="C465" i="6"/>
  <c r="E465" i="6"/>
  <c r="F465" i="6"/>
  <c r="B466" i="6"/>
  <c r="C466" i="6"/>
  <c r="E466" i="6"/>
  <c r="F466" i="6"/>
  <c r="B467" i="6"/>
  <c r="C467" i="6"/>
  <c r="E467" i="6"/>
  <c r="F467" i="6"/>
  <c r="B468" i="6"/>
  <c r="C468" i="6"/>
  <c r="E468" i="6"/>
  <c r="F468" i="6"/>
  <c r="B469" i="6"/>
  <c r="C469" i="6"/>
  <c r="E469" i="6"/>
  <c r="F469" i="6"/>
  <c r="B470" i="6"/>
  <c r="C470" i="6"/>
  <c r="E470" i="6"/>
  <c r="F470" i="6"/>
  <c r="B471" i="6"/>
  <c r="C471" i="6"/>
  <c r="E471" i="6"/>
  <c r="F471" i="6"/>
  <c r="B472" i="6"/>
  <c r="C472" i="6"/>
  <c r="E472" i="6"/>
  <c r="F472" i="6"/>
  <c r="B473" i="6"/>
  <c r="C473" i="6"/>
  <c r="E473" i="6"/>
  <c r="F473" i="6"/>
  <c r="B474" i="6"/>
  <c r="C474" i="6"/>
  <c r="E474" i="6"/>
  <c r="F474" i="6"/>
  <c r="B475" i="6"/>
  <c r="C475" i="6"/>
  <c r="E475" i="6"/>
  <c r="F475" i="6"/>
  <c r="B476" i="6"/>
  <c r="C476" i="6"/>
  <c r="E476" i="6"/>
  <c r="F476" i="6"/>
  <c r="B477" i="6"/>
  <c r="C477" i="6"/>
  <c r="E477" i="6"/>
  <c r="F477" i="6"/>
  <c r="B478" i="6"/>
  <c r="C478" i="6"/>
  <c r="E478" i="6"/>
  <c r="F478" i="6"/>
  <c r="B479" i="6"/>
  <c r="C479" i="6"/>
  <c r="E479" i="6"/>
  <c r="F479" i="6"/>
  <c r="B480" i="6"/>
  <c r="C480" i="6"/>
  <c r="E480" i="6"/>
  <c r="F480" i="6"/>
  <c r="B481" i="6"/>
  <c r="C481" i="6"/>
  <c r="E481" i="6"/>
  <c r="F481" i="6"/>
  <c r="B482" i="6"/>
  <c r="C482" i="6"/>
  <c r="E482" i="6"/>
  <c r="F482" i="6"/>
  <c r="B483" i="6"/>
  <c r="C483" i="6"/>
  <c r="E483" i="6"/>
  <c r="F483" i="6"/>
  <c r="B484" i="6"/>
  <c r="C484" i="6"/>
  <c r="E484" i="6"/>
  <c r="F484" i="6"/>
  <c r="B485" i="6"/>
  <c r="C485" i="6"/>
  <c r="E485" i="6"/>
  <c r="F485" i="6"/>
  <c r="B486" i="6"/>
  <c r="C486" i="6"/>
  <c r="E486" i="6"/>
  <c r="F486" i="6"/>
  <c r="B487" i="6"/>
  <c r="C487" i="6"/>
  <c r="E487" i="6"/>
  <c r="F487" i="6"/>
  <c r="B488" i="6"/>
  <c r="C488" i="6"/>
  <c r="E488" i="6"/>
  <c r="F488" i="6"/>
  <c r="B489" i="6"/>
  <c r="C489" i="6"/>
  <c r="E489" i="6"/>
  <c r="F489" i="6"/>
  <c r="B490" i="6"/>
  <c r="C490" i="6"/>
  <c r="E490" i="6"/>
  <c r="F490" i="6"/>
  <c r="B491" i="6"/>
  <c r="C491" i="6"/>
  <c r="E491" i="6"/>
  <c r="F491" i="6"/>
  <c r="B492" i="6"/>
  <c r="C492" i="6"/>
  <c r="E492" i="6"/>
  <c r="F492" i="6"/>
  <c r="B493" i="6"/>
  <c r="C493" i="6"/>
  <c r="E493" i="6"/>
  <c r="F493" i="6"/>
  <c r="B494" i="6"/>
  <c r="C494" i="6"/>
  <c r="E494" i="6"/>
  <c r="F494" i="6"/>
  <c r="B495" i="6"/>
  <c r="C495" i="6"/>
  <c r="E495" i="6"/>
  <c r="F495" i="6"/>
  <c r="B496" i="6"/>
  <c r="C496" i="6"/>
  <c r="E496" i="6"/>
  <c r="F496" i="6"/>
  <c r="B497" i="6"/>
  <c r="C497" i="6"/>
  <c r="E497" i="6"/>
  <c r="F497" i="6"/>
  <c r="B498" i="6"/>
  <c r="C498" i="6"/>
  <c r="E498" i="6"/>
  <c r="F498" i="6"/>
  <c r="B499" i="6"/>
  <c r="C499" i="6"/>
  <c r="E499" i="6"/>
  <c r="F499" i="6"/>
  <c r="B500" i="6"/>
  <c r="C500" i="6"/>
  <c r="E500" i="6"/>
  <c r="F500" i="6"/>
  <c r="B501" i="6"/>
  <c r="C501" i="6"/>
  <c r="E501" i="6"/>
  <c r="F501" i="6"/>
  <c r="B502" i="6"/>
  <c r="C502" i="6"/>
  <c r="E502" i="6"/>
  <c r="F502" i="6"/>
  <c r="B503" i="6"/>
  <c r="C503" i="6"/>
  <c r="E503" i="6"/>
  <c r="F503" i="6"/>
  <c r="B504" i="6"/>
  <c r="C504" i="6"/>
  <c r="E504" i="6"/>
  <c r="F504" i="6"/>
  <c r="B505" i="6"/>
  <c r="C505" i="6"/>
  <c r="E505" i="6"/>
  <c r="F505" i="6"/>
  <c r="B506" i="6"/>
  <c r="C506" i="6"/>
  <c r="E506" i="6"/>
  <c r="F506" i="6"/>
  <c r="B507" i="6"/>
  <c r="C507" i="6"/>
  <c r="E507" i="6"/>
  <c r="F507" i="6"/>
  <c r="B508" i="6"/>
  <c r="C508" i="6"/>
  <c r="E508" i="6"/>
  <c r="F508" i="6"/>
  <c r="B509" i="6"/>
  <c r="C509" i="6"/>
  <c r="E509" i="6"/>
  <c r="F509" i="6"/>
  <c r="B510" i="6"/>
  <c r="C510" i="6"/>
  <c r="E510" i="6"/>
  <c r="F510" i="6"/>
  <c r="B511" i="6"/>
  <c r="C511" i="6"/>
  <c r="E511" i="6"/>
  <c r="F511" i="6"/>
  <c r="B512" i="6"/>
  <c r="C512" i="6"/>
  <c r="E512" i="6"/>
  <c r="F512" i="6"/>
  <c r="B513" i="6"/>
  <c r="C513" i="6"/>
  <c r="E513" i="6"/>
  <c r="F513" i="6"/>
  <c r="B514" i="6"/>
  <c r="C514" i="6"/>
  <c r="E514" i="6"/>
  <c r="F514" i="6"/>
  <c r="B515" i="6"/>
  <c r="C515" i="6"/>
  <c r="E515" i="6"/>
  <c r="F515" i="6"/>
  <c r="B516" i="6"/>
  <c r="C516" i="6"/>
  <c r="E516" i="6"/>
  <c r="F516" i="6"/>
  <c r="B517" i="6"/>
  <c r="C517" i="6"/>
  <c r="E517" i="6"/>
  <c r="F517" i="6"/>
  <c r="B518" i="6"/>
  <c r="C518" i="6"/>
  <c r="E518" i="6"/>
  <c r="F518" i="6"/>
  <c r="B519" i="6"/>
  <c r="C519" i="6"/>
  <c r="E519" i="6"/>
  <c r="F519" i="6"/>
  <c r="B520" i="6"/>
  <c r="C520" i="6"/>
  <c r="E520" i="6"/>
  <c r="F520" i="6"/>
  <c r="B521" i="6"/>
  <c r="C521" i="6"/>
  <c r="E521" i="6"/>
  <c r="F521" i="6"/>
  <c r="B522" i="6"/>
  <c r="C522" i="6"/>
  <c r="E522" i="6"/>
  <c r="F522" i="6"/>
  <c r="B523" i="6"/>
  <c r="C523" i="6"/>
  <c r="E523" i="6"/>
  <c r="F523" i="6"/>
  <c r="B524" i="6"/>
  <c r="C524" i="6"/>
  <c r="E524" i="6"/>
  <c r="F524" i="6"/>
  <c r="B525" i="6"/>
  <c r="C525" i="6"/>
  <c r="E525" i="6"/>
  <c r="F525" i="6"/>
  <c r="B526" i="6"/>
  <c r="C526" i="6"/>
  <c r="E526" i="6"/>
  <c r="F526" i="6"/>
  <c r="B527" i="6"/>
  <c r="C527" i="6"/>
  <c r="E527" i="6"/>
  <c r="F527" i="6"/>
  <c r="B528" i="6"/>
  <c r="C528" i="6"/>
  <c r="E528" i="6"/>
  <c r="F528" i="6"/>
  <c r="B529" i="6"/>
  <c r="C529" i="6"/>
  <c r="E529" i="6"/>
  <c r="F529" i="6"/>
  <c r="B530" i="6"/>
  <c r="C530" i="6"/>
  <c r="E530" i="6"/>
  <c r="F530" i="6"/>
  <c r="B531" i="6"/>
  <c r="C531" i="6"/>
  <c r="E531" i="6"/>
  <c r="F531" i="6"/>
  <c r="B532" i="6"/>
  <c r="C532" i="6"/>
  <c r="E532" i="6"/>
  <c r="F532" i="6"/>
  <c r="B533" i="6"/>
  <c r="C533" i="6"/>
  <c r="E533" i="6"/>
  <c r="F533" i="6"/>
  <c r="B534" i="6"/>
  <c r="C534" i="6"/>
  <c r="E534" i="6"/>
  <c r="F534" i="6"/>
  <c r="B535" i="6"/>
  <c r="C535" i="6"/>
  <c r="E535" i="6"/>
  <c r="F535" i="6"/>
  <c r="B536" i="6"/>
  <c r="C536" i="6"/>
  <c r="E536" i="6"/>
  <c r="F536" i="6"/>
  <c r="B537" i="6"/>
  <c r="C537" i="6"/>
  <c r="E537" i="6"/>
  <c r="F537" i="6"/>
  <c r="B538" i="6"/>
  <c r="C538" i="6"/>
  <c r="E538" i="6"/>
  <c r="F538" i="6"/>
  <c r="B539" i="6"/>
  <c r="C539" i="6"/>
  <c r="E539" i="6"/>
  <c r="F539" i="6"/>
  <c r="B540" i="6"/>
  <c r="C540" i="6"/>
  <c r="E540" i="6"/>
  <c r="F540" i="6"/>
  <c r="B541" i="6"/>
  <c r="C541" i="6"/>
  <c r="E541" i="6"/>
  <c r="F541" i="6"/>
  <c r="B542" i="6"/>
  <c r="C542" i="6"/>
  <c r="E542" i="6"/>
  <c r="F542" i="6"/>
  <c r="B543" i="6"/>
  <c r="C543" i="6"/>
  <c r="E543" i="6"/>
  <c r="F543" i="6"/>
  <c r="B544" i="6"/>
  <c r="C544" i="6"/>
  <c r="E544" i="6"/>
  <c r="F544" i="6"/>
  <c r="B545" i="6"/>
  <c r="C545" i="6"/>
  <c r="E545" i="6"/>
  <c r="F545" i="6"/>
  <c r="B546" i="6"/>
  <c r="C546" i="6"/>
  <c r="E546" i="6"/>
  <c r="F546" i="6"/>
  <c r="B547" i="6"/>
  <c r="C547" i="6"/>
  <c r="E547" i="6"/>
  <c r="F547" i="6"/>
  <c r="B548" i="6"/>
  <c r="C548" i="6"/>
  <c r="E548" i="6"/>
  <c r="F548" i="6"/>
  <c r="B549" i="6"/>
  <c r="C549" i="6"/>
  <c r="E549" i="6"/>
  <c r="F549" i="6"/>
  <c r="B550" i="6"/>
  <c r="C550" i="6"/>
  <c r="E550" i="6"/>
  <c r="F550" i="6"/>
  <c r="B551" i="6"/>
  <c r="C551" i="6"/>
  <c r="E551" i="6"/>
  <c r="F551" i="6"/>
  <c r="B552" i="6"/>
  <c r="C552" i="6"/>
  <c r="E552" i="6"/>
  <c r="F552" i="6"/>
  <c r="B553" i="6"/>
  <c r="C553" i="6"/>
  <c r="E553" i="6"/>
  <c r="F553" i="6"/>
  <c r="B554" i="6"/>
  <c r="C554" i="6"/>
  <c r="E554" i="6"/>
  <c r="F554" i="6"/>
  <c r="B555" i="6"/>
  <c r="C555" i="6"/>
  <c r="E555" i="6"/>
  <c r="F555" i="6"/>
  <c r="B556" i="6"/>
  <c r="C556" i="6"/>
  <c r="E556" i="6"/>
  <c r="F556" i="6"/>
  <c r="B557" i="6"/>
  <c r="C557" i="6"/>
  <c r="E557" i="6"/>
  <c r="F557" i="6"/>
  <c r="B558" i="6"/>
  <c r="C558" i="6"/>
  <c r="E558" i="6"/>
  <c r="F558" i="6"/>
  <c r="B559" i="6"/>
  <c r="C559" i="6"/>
  <c r="E559" i="6"/>
  <c r="F559" i="6"/>
  <c r="B560" i="6"/>
  <c r="C560" i="6"/>
  <c r="E560" i="6"/>
  <c r="F560" i="6"/>
  <c r="B561" i="6"/>
  <c r="C561" i="6"/>
  <c r="E561" i="6"/>
  <c r="F561" i="6"/>
  <c r="B562" i="6"/>
  <c r="C562" i="6"/>
  <c r="E562" i="6"/>
  <c r="F562" i="6"/>
  <c r="B563" i="6"/>
  <c r="C563" i="6"/>
  <c r="E563" i="6"/>
  <c r="F563" i="6"/>
  <c r="B564" i="6"/>
  <c r="C564" i="6"/>
  <c r="E564" i="6"/>
  <c r="F564" i="6"/>
  <c r="B565" i="6"/>
  <c r="C565" i="6"/>
  <c r="E565" i="6"/>
  <c r="F565" i="6"/>
  <c r="B566" i="6"/>
  <c r="C566" i="6"/>
  <c r="E566" i="6"/>
  <c r="F566" i="6"/>
  <c r="B567" i="6"/>
  <c r="C567" i="6"/>
  <c r="E567" i="6"/>
  <c r="F567" i="6"/>
  <c r="B568" i="6"/>
  <c r="C568" i="6"/>
  <c r="E568" i="6"/>
  <c r="F568" i="6"/>
  <c r="B569" i="6"/>
  <c r="C569" i="6"/>
  <c r="E569" i="6"/>
  <c r="F569" i="6"/>
  <c r="B570" i="6"/>
  <c r="C570" i="6"/>
  <c r="E570" i="6"/>
  <c r="F570" i="6"/>
  <c r="B571" i="6"/>
  <c r="C571" i="6"/>
  <c r="E571" i="6"/>
  <c r="F571" i="6"/>
  <c r="B572" i="6"/>
  <c r="C572" i="6"/>
  <c r="E572" i="6"/>
  <c r="F572" i="6"/>
  <c r="B573" i="6"/>
  <c r="C573" i="6"/>
  <c r="E573" i="6"/>
  <c r="F573" i="6"/>
  <c r="B574" i="6"/>
  <c r="C574" i="6"/>
  <c r="E574" i="6"/>
  <c r="F574" i="6"/>
  <c r="B575" i="6"/>
  <c r="C575" i="6"/>
  <c r="E575" i="6"/>
  <c r="F575" i="6"/>
  <c r="B576" i="6"/>
  <c r="C576" i="6"/>
  <c r="E576" i="6"/>
  <c r="F576" i="6"/>
  <c r="B577" i="6"/>
  <c r="C577" i="6"/>
  <c r="E577" i="6"/>
  <c r="F577" i="6"/>
  <c r="B578" i="6"/>
  <c r="C578" i="6"/>
  <c r="E578" i="6"/>
  <c r="F578" i="6"/>
  <c r="B579" i="6"/>
  <c r="C579" i="6"/>
  <c r="E579" i="6"/>
  <c r="F579" i="6"/>
  <c r="B580" i="6"/>
  <c r="C580" i="6"/>
  <c r="E580" i="6"/>
  <c r="F580" i="6"/>
  <c r="B581" i="6"/>
  <c r="C581" i="6"/>
  <c r="E581" i="6"/>
  <c r="F581" i="6"/>
  <c r="B582" i="6"/>
  <c r="C582" i="6"/>
  <c r="E582" i="6"/>
  <c r="F582" i="6"/>
  <c r="B583" i="6"/>
  <c r="C583" i="6"/>
  <c r="E583" i="6"/>
  <c r="F583" i="6"/>
  <c r="B584" i="6"/>
  <c r="C584" i="6"/>
  <c r="E584" i="6"/>
  <c r="F584" i="6"/>
  <c r="B585" i="6"/>
  <c r="C585" i="6"/>
  <c r="E585" i="6"/>
  <c r="F585" i="6"/>
  <c r="B586" i="6"/>
  <c r="C586" i="6"/>
  <c r="E586" i="6"/>
  <c r="F586" i="6"/>
  <c r="B587" i="6"/>
  <c r="C587" i="6"/>
  <c r="E587" i="6"/>
  <c r="F587" i="6"/>
  <c r="B588" i="6"/>
  <c r="C588" i="6"/>
  <c r="E588" i="6"/>
  <c r="F588" i="6"/>
  <c r="B589" i="6"/>
  <c r="C589" i="6"/>
  <c r="E589" i="6"/>
  <c r="F589" i="6"/>
  <c r="B590" i="6"/>
  <c r="C590" i="6"/>
  <c r="E590" i="6"/>
  <c r="F590" i="6"/>
  <c r="B591" i="6"/>
  <c r="C591" i="6"/>
  <c r="E591" i="6"/>
  <c r="F591" i="6"/>
  <c r="B592" i="6"/>
  <c r="C592" i="6"/>
  <c r="E592" i="6"/>
  <c r="F592" i="6"/>
  <c r="B593" i="6"/>
  <c r="C593" i="6"/>
  <c r="E593" i="6"/>
  <c r="F593" i="6"/>
  <c r="B594" i="6"/>
  <c r="C594" i="6"/>
  <c r="E594" i="6"/>
  <c r="F594" i="6"/>
  <c r="B595" i="6"/>
  <c r="C595" i="6"/>
  <c r="E595" i="6"/>
  <c r="F595" i="6"/>
  <c r="B596" i="6"/>
  <c r="C596" i="6"/>
  <c r="E596" i="6"/>
  <c r="F596" i="6"/>
  <c r="B597" i="6"/>
  <c r="C597" i="6"/>
  <c r="E597" i="6"/>
  <c r="F597" i="6"/>
  <c r="B598" i="6"/>
  <c r="C598" i="6"/>
  <c r="E598" i="6"/>
  <c r="F598" i="6"/>
  <c r="B599" i="6"/>
  <c r="C599" i="6"/>
  <c r="E599" i="6"/>
  <c r="F599" i="6"/>
  <c r="B600" i="6"/>
  <c r="C600" i="6"/>
  <c r="E600" i="6"/>
  <c r="F600" i="6"/>
  <c r="B601" i="6"/>
  <c r="C601" i="6"/>
  <c r="E601" i="6"/>
  <c r="F601" i="6"/>
  <c r="B602" i="6"/>
  <c r="C602" i="6"/>
  <c r="E602" i="6"/>
  <c r="F602" i="6"/>
  <c r="B603" i="6"/>
  <c r="C603" i="6"/>
  <c r="E603" i="6"/>
  <c r="F603" i="6"/>
  <c r="B604" i="6"/>
  <c r="C604" i="6"/>
  <c r="E604" i="6"/>
  <c r="F604" i="6"/>
  <c r="B605" i="6"/>
  <c r="C605" i="6"/>
  <c r="E605" i="6"/>
  <c r="F605" i="6"/>
  <c r="B606" i="6"/>
  <c r="C606" i="6"/>
  <c r="E606" i="6"/>
  <c r="F606" i="6"/>
  <c r="B607" i="6"/>
  <c r="C607" i="6"/>
  <c r="E607" i="6"/>
  <c r="F607" i="6"/>
  <c r="B608" i="6"/>
  <c r="C608" i="6"/>
  <c r="E608" i="6"/>
  <c r="F608" i="6"/>
  <c r="B609" i="6"/>
  <c r="C609" i="6"/>
  <c r="E609" i="6"/>
  <c r="F609" i="6"/>
  <c r="B610" i="6"/>
  <c r="C610" i="6"/>
  <c r="E610" i="6"/>
  <c r="F610" i="6"/>
  <c r="B611" i="6"/>
  <c r="C611" i="6"/>
  <c r="E611" i="6"/>
  <c r="F611" i="6"/>
  <c r="B612" i="6"/>
  <c r="C612" i="6"/>
  <c r="E612" i="6"/>
  <c r="F612" i="6"/>
  <c r="B613" i="6"/>
  <c r="C613" i="6"/>
  <c r="E613" i="6"/>
  <c r="F613" i="6"/>
  <c r="B614" i="6"/>
  <c r="C614" i="6"/>
  <c r="E614" i="6"/>
  <c r="F614" i="6"/>
  <c r="B615" i="6"/>
  <c r="C615" i="6"/>
  <c r="E615" i="6"/>
  <c r="F615" i="6"/>
  <c r="B616" i="6"/>
  <c r="C616" i="6"/>
  <c r="E616" i="6"/>
  <c r="F616" i="6"/>
  <c r="B617" i="6"/>
  <c r="C617" i="6"/>
  <c r="E617" i="6"/>
  <c r="F617" i="6"/>
  <c r="B618" i="6"/>
  <c r="C618" i="6"/>
  <c r="E618" i="6"/>
  <c r="F618" i="6"/>
  <c r="B619" i="6"/>
  <c r="C619" i="6"/>
  <c r="E619" i="6"/>
  <c r="F619" i="6"/>
  <c r="B620" i="6"/>
  <c r="C620" i="6"/>
  <c r="E620" i="6"/>
  <c r="F620" i="6"/>
  <c r="B621" i="6"/>
  <c r="C621" i="6"/>
  <c r="E621" i="6"/>
  <c r="F621" i="6"/>
  <c r="B622" i="6"/>
  <c r="C622" i="6"/>
  <c r="E622" i="6"/>
  <c r="F622" i="6"/>
  <c r="B623" i="6"/>
  <c r="C623" i="6"/>
  <c r="E623" i="6"/>
  <c r="F623" i="6"/>
  <c r="B624" i="6"/>
  <c r="C624" i="6"/>
  <c r="E624" i="6"/>
  <c r="F624" i="6"/>
  <c r="B625" i="6"/>
  <c r="C625" i="6"/>
  <c r="E625" i="6"/>
  <c r="F625" i="6"/>
  <c r="B626" i="6"/>
  <c r="C626" i="6"/>
  <c r="E626" i="6"/>
  <c r="F626" i="6"/>
  <c r="B627" i="6"/>
  <c r="C627" i="6"/>
  <c r="E627" i="6"/>
  <c r="F627" i="6"/>
  <c r="B628" i="6"/>
  <c r="C628" i="6"/>
  <c r="E628" i="6"/>
  <c r="F628" i="6"/>
  <c r="B629" i="6"/>
  <c r="C629" i="6"/>
  <c r="E629" i="6"/>
  <c r="F629" i="6"/>
  <c r="B630" i="6"/>
  <c r="C630" i="6"/>
  <c r="E630" i="6"/>
  <c r="F630" i="6"/>
  <c r="B631" i="6"/>
  <c r="C631" i="6"/>
  <c r="E631" i="6"/>
  <c r="F631" i="6"/>
  <c r="B632" i="6"/>
  <c r="C632" i="6"/>
  <c r="E632" i="6"/>
  <c r="F632" i="6"/>
  <c r="B633" i="6"/>
  <c r="C633" i="6"/>
  <c r="E633" i="6"/>
  <c r="F633" i="6"/>
  <c r="B634" i="6"/>
  <c r="C634" i="6"/>
  <c r="E634" i="6"/>
  <c r="F634" i="6"/>
  <c r="B635" i="6"/>
  <c r="C635" i="6"/>
  <c r="E635" i="6"/>
  <c r="F635" i="6"/>
  <c r="B636" i="6"/>
  <c r="C636" i="6"/>
  <c r="E636" i="6"/>
  <c r="F636" i="6"/>
  <c r="B637" i="6"/>
  <c r="C637" i="6"/>
  <c r="E637" i="6"/>
  <c r="F637" i="6"/>
  <c r="B638" i="6"/>
  <c r="C638" i="6"/>
  <c r="E638" i="6"/>
  <c r="F638" i="6"/>
  <c r="B639" i="6"/>
  <c r="C639" i="6"/>
  <c r="E639" i="6"/>
  <c r="F639" i="6"/>
  <c r="B640" i="6"/>
  <c r="C640" i="6"/>
  <c r="E640" i="6"/>
  <c r="F640" i="6"/>
  <c r="B641" i="6"/>
  <c r="C641" i="6"/>
  <c r="E641" i="6"/>
  <c r="F641" i="6"/>
  <c r="B642" i="6"/>
  <c r="C642" i="6"/>
  <c r="E642" i="6"/>
  <c r="F642" i="6"/>
  <c r="B643" i="6"/>
  <c r="C643" i="6"/>
  <c r="E643" i="6"/>
  <c r="F643" i="6"/>
  <c r="B644" i="6"/>
  <c r="C644" i="6"/>
  <c r="E644" i="6"/>
  <c r="F644" i="6"/>
  <c r="B645" i="6"/>
  <c r="C645" i="6"/>
  <c r="E645" i="6"/>
  <c r="F645" i="6"/>
  <c r="B646" i="6"/>
  <c r="C646" i="6"/>
  <c r="E646" i="6"/>
  <c r="F646" i="6"/>
  <c r="B647" i="6"/>
  <c r="C647" i="6"/>
  <c r="E647" i="6"/>
  <c r="F647" i="6"/>
  <c r="B648" i="6"/>
  <c r="C648" i="6"/>
  <c r="E648" i="6"/>
  <c r="F648" i="6"/>
  <c r="B649" i="6"/>
  <c r="C649" i="6"/>
  <c r="E649" i="6"/>
  <c r="F649" i="6"/>
  <c r="B650" i="6"/>
  <c r="C650" i="6"/>
  <c r="E650" i="6"/>
  <c r="F650" i="6"/>
  <c r="B651" i="6"/>
  <c r="C651" i="6"/>
  <c r="E651" i="6"/>
  <c r="F651" i="6"/>
  <c r="B652" i="6"/>
  <c r="C652" i="6"/>
  <c r="E652" i="6"/>
  <c r="F652" i="6"/>
  <c r="B653" i="6"/>
  <c r="C653" i="6"/>
  <c r="E653" i="6"/>
  <c r="F653" i="6"/>
  <c r="B654" i="6"/>
  <c r="C654" i="6"/>
  <c r="E654" i="6"/>
  <c r="F654" i="6"/>
  <c r="B655" i="6"/>
  <c r="C655" i="6"/>
  <c r="E655" i="6"/>
  <c r="F655" i="6"/>
  <c r="B656" i="6"/>
  <c r="C656" i="6"/>
  <c r="E656" i="6"/>
  <c r="F656" i="6"/>
  <c r="B657" i="6"/>
  <c r="C657" i="6"/>
  <c r="E657" i="6"/>
  <c r="F657" i="6"/>
  <c r="B658" i="6"/>
  <c r="C658" i="6"/>
  <c r="E658" i="6"/>
  <c r="F658" i="6"/>
  <c r="B659" i="6"/>
  <c r="C659" i="6"/>
  <c r="E659" i="6"/>
  <c r="F659" i="6"/>
  <c r="B660" i="6"/>
  <c r="C660" i="6"/>
  <c r="E660" i="6"/>
  <c r="F660" i="6"/>
  <c r="B661" i="6"/>
  <c r="C661" i="6"/>
  <c r="E661" i="6"/>
  <c r="F661" i="6"/>
  <c r="B662" i="6"/>
  <c r="C662" i="6"/>
  <c r="E662" i="6"/>
  <c r="F662" i="6"/>
  <c r="B663" i="6"/>
  <c r="C663" i="6"/>
  <c r="E663" i="6"/>
  <c r="F663" i="6"/>
  <c r="B664" i="6"/>
  <c r="C664" i="6"/>
  <c r="E664" i="6"/>
  <c r="F664" i="6"/>
  <c r="B665" i="6"/>
  <c r="C665" i="6"/>
  <c r="E665" i="6"/>
  <c r="F665" i="6"/>
  <c r="B666" i="6"/>
  <c r="C666" i="6"/>
  <c r="E666" i="6"/>
  <c r="F666" i="6"/>
  <c r="B667" i="6"/>
  <c r="C667" i="6"/>
  <c r="E667" i="6"/>
  <c r="F667" i="6"/>
  <c r="B668" i="6"/>
  <c r="C668" i="6"/>
  <c r="E668" i="6"/>
  <c r="F668" i="6"/>
  <c r="B669" i="6"/>
  <c r="C669" i="6"/>
  <c r="E669" i="6"/>
  <c r="F669" i="6"/>
  <c r="B670" i="6"/>
  <c r="C670" i="6"/>
  <c r="E670" i="6"/>
  <c r="F670" i="6"/>
  <c r="B671" i="6"/>
  <c r="C671" i="6"/>
  <c r="E671" i="6"/>
  <c r="F671" i="6"/>
  <c r="B672" i="6"/>
  <c r="C672" i="6"/>
  <c r="E672" i="6"/>
  <c r="F672" i="6"/>
  <c r="B673" i="6"/>
  <c r="C673" i="6"/>
  <c r="E673" i="6"/>
  <c r="F673" i="6"/>
  <c r="B674" i="6"/>
  <c r="C674" i="6"/>
  <c r="E674" i="6"/>
  <c r="F674" i="6"/>
  <c r="B675" i="6"/>
  <c r="C675" i="6"/>
  <c r="E675" i="6"/>
  <c r="F675" i="6"/>
  <c r="B676" i="6"/>
  <c r="C676" i="6"/>
  <c r="E676" i="6"/>
  <c r="F676" i="6"/>
  <c r="B677" i="6"/>
  <c r="C677" i="6"/>
  <c r="E677" i="6"/>
  <c r="F677" i="6"/>
  <c r="B678" i="6"/>
  <c r="C678" i="6"/>
  <c r="E678" i="6"/>
  <c r="F678" i="6"/>
  <c r="B679" i="6"/>
  <c r="C679" i="6"/>
  <c r="E679" i="6"/>
  <c r="F679" i="6"/>
  <c r="B680" i="6"/>
  <c r="C680" i="6"/>
  <c r="E680" i="6"/>
  <c r="F680" i="6"/>
  <c r="B681" i="6"/>
  <c r="C681" i="6"/>
  <c r="E681" i="6"/>
  <c r="F681" i="6"/>
  <c r="B682" i="6"/>
  <c r="C682" i="6"/>
  <c r="E682" i="6"/>
  <c r="F682" i="6"/>
  <c r="B683" i="6"/>
  <c r="C683" i="6"/>
  <c r="E683" i="6"/>
  <c r="F683" i="6"/>
  <c r="B684" i="6"/>
  <c r="C684" i="6"/>
  <c r="E684" i="6"/>
  <c r="F684" i="6"/>
  <c r="B685" i="6"/>
  <c r="C685" i="6"/>
  <c r="E685" i="6"/>
  <c r="F685" i="6"/>
  <c r="B686" i="6"/>
  <c r="C686" i="6"/>
  <c r="E686" i="6"/>
  <c r="F686" i="6"/>
  <c r="B687" i="6"/>
  <c r="C687" i="6"/>
  <c r="E687" i="6"/>
  <c r="F687" i="6"/>
  <c r="B688" i="6"/>
  <c r="C688" i="6"/>
  <c r="E688" i="6"/>
  <c r="F688" i="6"/>
  <c r="B689" i="6"/>
  <c r="C689" i="6"/>
  <c r="E689" i="6"/>
  <c r="F689" i="6"/>
  <c r="B690" i="6"/>
  <c r="C690" i="6"/>
  <c r="E690" i="6"/>
  <c r="F690" i="6"/>
  <c r="B691" i="6"/>
  <c r="C691" i="6"/>
  <c r="E691" i="6"/>
  <c r="F691" i="6"/>
  <c r="B692" i="6"/>
  <c r="C692" i="6"/>
  <c r="E692" i="6"/>
  <c r="F692" i="6"/>
  <c r="B693" i="6"/>
  <c r="C693" i="6"/>
  <c r="E693" i="6"/>
  <c r="F693" i="6"/>
  <c r="B694" i="6"/>
  <c r="C694" i="6"/>
  <c r="E694" i="6"/>
  <c r="F694" i="6"/>
  <c r="B695" i="6"/>
  <c r="C695" i="6"/>
  <c r="E695" i="6"/>
  <c r="F695" i="6"/>
  <c r="B696" i="6"/>
  <c r="C696" i="6"/>
  <c r="E696" i="6"/>
  <c r="F696" i="6"/>
  <c r="B697" i="6"/>
  <c r="C697" i="6"/>
  <c r="E697" i="6"/>
  <c r="F697" i="6"/>
  <c r="B698" i="6"/>
  <c r="C698" i="6"/>
  <c r="E698" i="6"/>
  <c r="F698" i="6"/>
  <c r="B699" i="6"/>
  <c r="C699" i="6"/>
  <c r="E699" i="6"/>
  <c r="F699" i="6"/>
  <c r="B700" i="6"/>
  <c r="C700" i="6"/>
  <c r="E700" i="6"/>
  <c r="F700" i="6"/>
  <c r="B701" i="6"/>
  <c r="C701" i="6"/>
  <c r="E701" i="6"/>
  <c r="F701" i="6"/>
  <c r="B702" i="6"/>
  <c r="C702" i="6"/>
  <c r="E702" i="6"/>
  <c r="F702" i="6"/>
  <c r="B703" i="6"/>
  <c r="C703" i="6"/>
  <c r="E703" i="6"/>
  <c r="F703" i="6"/>
  <c r="B704" i="6"/>
  <c r="C704" i="6"/>
  <c r="E704" i="6"/>
  <c r="F704" i="6"/>
  <c r="B705" i="6"/>
  <c r="C705" i="6"/>
  <c r="E705" i="6"/>
  <c r="F705" i="6"/>
  <c r="B706" i="6"/>
  <c r="C706" i="6"/>
  <c r="E706" i="6"/>
  <c r="F706" i="6"/>
  <c r="B707" i="6"/>
  <c r="C707" i="6"/>
  <c r="E707" i="6"/>
  <c r="F707" i="6"/>
  <c r="B708" i="6"/>
  <c r="C708" i="6"/>
  <c r="E708" i="6"/>
  <c r="F708" i="6"/>
  <c r="B709" i="6"/>
  <c r="C709" i="6"/>
  <c r="E709" i="6"/>
  <c r="F709" i="6"/>
  <c r="B710" i="6"/>
  <c r="C710" i="6"/>
  <c r="E710" i="6"/>
  <c r="F710" i="6"/>
  <c r="B711" i="6"/>
  <c r="C711" i="6"/>
  <c r="E711" i="6"/>
  <c r="F711" i="6"/>
  <c r="B712" i="6"/>
  <c r="C712" i="6"/>
  <c r="E712" i="6"/>
  <c r="F712" i="6"/>
  <c r="B713" i="6"/>
  <c r="C713" i="6"/>
  <c r="E713" i="6"/>
  <c r="F713" i="6"/>
  <c r="B714" i="6"/>
  <c r="C714" i="6"/>
  <c r="E714" i="6"/>
  <c r="F714" i="6"/>
  <c r="B715" i="6"/>
  <c r="C715" i="6"/>
  <c r="E715" i="6"/>
  <c r="F715" i="6"/>
  <c r="B716" i="6"/>
  <c r="C716" i="6"/>
  <c r="E716" i="6"/>
  <c r="F716" i="6"/>
  <c r="B717" i="6"/>
  <c r="C717" i="6"/>
  <c r="E717" i="6"/>
  <c r="F717" i="6"/>
  <c r="B718" i="6"/>
  <c r="C718" i="6"/>
  <c r="E718" i="6"/>
  <c r="F718" i="6"/>
  <c r="B719" i="6"/>
  <c r="C719" i="6"/>
  <c r="E719" i="6"/>
  <c r="F719" i="6"/>
  <c r="B720" i="6"/>
  <c r="C720" i="6"/>
  <c r="E720" i="6"/>
  <c r="F720" i="6"/>
  <c r="B721" i="6"/>
  <c r="C721" i="6"/>
  <c r="E721" i="6"/>
  <c r="F721" i="6"/>
  <c r="B722" i="6"/>
  <c r="C722" i="6"/>
  <c r="E722" i="6"/>
  <c r="F722" i="6"/>
  <c r="B723" i="6"/>
  <c r="C723" i="6"/>
  <c r="E723" i="6"/>
  <c r="F723" i="6"/>
  <c r="B724" i="6"/>
  <c r="C724" i="6"/>
  <c r="E724" i="6"/>
  <c r="F724" i="6"/>
  <c r="B725" i="6"/>
  <c r="C725" i="6"/>
  <c r="E725" i="6"/>
  <c r="F725" i="6"/>
  <c r="B726" i="6"/>
  <c r="C726" i="6"/>
  <c r="E726" i="6"/>
  <c r="F726" i="6"/>
  <c r="B727" i="6"/>
  <c r="C727" i="6"/>
  <c r="E727" i="6"/>
  <c r="F727" i="6"/>
  <c r="B728" i="6"/>
  <c r="C728" i="6"/>
  <c r="E728" i="6"/>
  <c r="F728" i="6"/>
  <c r="B729" i="6"/>
  <c r="C729" i="6"/>
  <c r="E729" i="6"/>
  <c r="F729" i="6"/>
  <c r="B730" i="6"/>
  <c r="C730" i="6"/>
  <c r="E730" i="6"/>
  <c r="F730" i="6"/>
  <c r="B731" i="6"/>
  <c r="C731" i="6"/>
  <c r="E731" i="6"/>
  <c r="F731" i="6"/>
  <c r="B732" i="6"/>
  <c r="C732" i="6"/>
  <c r="E732" i="6"/>
  <c r="F732" i="6"/>
  <c r="B733" i="6"/>
  <c r="C733" i="6"/>
  <c r="E733" i="6"/>
  <c r="F733" i="6"/>
  <c r="B734" i="6"/>
  <c r="C734" i="6"/>
  <c r="E734" i="6"/>
  <c r="F734" i="6"/>
  <c r="B735" i="6"/>
  <c r="C735" i="6"/>
  <c r="E735" i="6"/>
  <c r="F735" i="6"/>
  <c r="B736" i="6"/>
  <c r="C736" i="6"/>
  <c r="E736" i="6"/>
  <c r="F736" i="6"/>
  <c r="B737" i="6"/>
  <c r="C737" i="6"/>
  <c r="E737" i="6"/>
  <c r="F737" i="6"/>
  <c r="B738" i="6"/>
  <c r="C738" i="6"/>
  <c r="E738" i="6"/>
  <c r="F738" i="6"/>
  <c r="B739" i="6"/>
  <c r="C739" i="6"/>
  <c r="E739" i="6"/>
  <c r="F739" i="6"/>
  <c r="B740" i="6"/>
  <c r="C740" i="6"/>
  <c r="E740" i="6"/>
  <c r="F740" i="6"/>
  <c r="B741" i="6"/>
  <c r="C741" i="6"/>
  <c r="E741" i="6"/>
  <c r="F741" i="6"/>
  <c r="B742" i="6"/>
  <c r="C742" i="6"/>
  <c r="E742" i="6"/>
  <c r="F742" i="6"/>
  <c r="B743" i="6"/>
  <c r="C743" i="6"/>
  <c r="E743" i="6"/>
  <c r="F743" i="6"/>
  <c r="B744" i="6"/>
  <c r="C744" i="6"/>
  <c r="E744" i="6"/>
  <c r="F744" i="6"/>
  <c r="B745" i="6"/>
  <c r="C745" i="6"/>
  <c r="E745" i="6"/>
  <c r="F745" i="6"/>
  <c r="B746" i="6"/>
  <c r="C746" i="6"/>
  <c r="E746" i="6"/>
  <c r="F746" i="6"/>
  <c r="B747" i="6"/>
  <c r="C747" i="6"/>
  <c r="E747" i="6"/>
  <c r="F747" i="6"/>
  <c r="B748" i="6"/>
  <c r="C748" i="6"/>
  <c r="E748" i="6"/>
  <c r="F748" i="6"/>
  <c r="B749" i="6"/>
  <c r="C749" i="6"/>
  <c r="E749" i="6"/>
  <c r="F749" i="6"/>
  <c r="B750" i="6"/>
  <c r="C750" i="6"/>
  <c r="E750" i="6"/>
  <c r="F750" i="6"/>
  <c r="B751" i="6"/>
  <c r="C751" i="6"/>
  <c r="E751" i="6"/>
  <c r="F751" i="6"/>
  <c r="B752" i="6"/>
  <c r="C752" i="6"/>
  <c r="E752" i="6"/>
  <c r="F752" i="6"/>
  <c r="B753" i="6"/>
  <c r="C753" i="6"/>
  <c r="E753" i="6"/>
  <c r="F753" i="6"/>
  <c r="B754" i="6"/>
  <c r="C754" i="6"/>
  <c r="E754" i="6"/>
  <c r="F754" i="6"/>
  <c r="B755" i="6"/>
  <c r="C755" i="6"/>
  <c r="E755" i="6"/>
  <c r="F755" i="6"/>
  <c r="B756" i="6"/>
  <c r="C756" i="6"/>
  <c r="E756" i="6"/>
  <c r="F756" i="6"/>
  <c r="B757" i="6"/>
  <c r="C757" i="6"/>
  <c r="E757" i="6"/>
  <c r="F757" i="6"/>
  <c r="B758" i="6"/>
  <c r="C758" i="6"/>
  <c r="E758" i="6"/>
  <c r="F758" i="6"/>
  <c r="B759" i="6"/>
  <c r="C759" i="6"/>
  <c r="E759" i="6"/>
  <c r="F759" i="6"/>
  <c r="B760" i="6"/>
  <c r="C760" i="6"/>
  <c r="E760" i="6"/>
  <c r="F760" i="6"/>
  <c r="B761" i="6"/>
  <c r="C761" i="6"/>
  <c r="E761" i="6"/>
  <c r="F761" i="6"/>
  <c r="B762" i="6"/>
  <c r="C762" i="6"/>
  <c r="E762" i="6"/>
  <c r="F762" i="6"/>
  <c r="B763" i="6"/>
  <c r="C763" i="6"/>
  <c r="E763" i="6"/>
  <c r="F763" i="6"/>
  <c r="B764" i="6"/>
  <c r="C764" i="6"/>
  <c r="E764" i="6"/>
  <c r="F764" i="6"/>
  <c r="B765" i="6"/>
  <c r="C765" i="6"/>
  <c r="E765" i="6"/>
  <c r="F765" i="6"/>
  <c r="B766" i="6"/>
  <c r="C766" i="6"/>
  <c r="E766" i="6"/>
  <c r="F766" i="6"/>
  <c r="B767" i="6"/>
  <c r="C767" i="6"/>
  <c r="E767" i="6"/>
  <c r="F767" i="6"/>
  <c r="B768" i="6"/>
  <c r="C768" i="6"/>
  <c r="E768" i="6"/>
  <c r="F768" i="6"/>
  <c r="B769" i="6"/>
  <c r="C769" i="6"/>
  <c r="E769" i="6"/>
  <c r="F769" i="6"/>
  <c r="B770" i="6"/>
  <c r="C770" i="6"/>
  <c r="E770" i="6"/>
  <c r="F770" i="6"/>
  <c r="B771" i="6"/>
  <c r="C771" i="6"/>
  <c r="E771" i="6"/>
  <c r="F771" i="6"/>
  <c r="B772" i="6"/>
  <c r="C772" i="6"/>
  <c r="E772" i="6"/>
  <c r="F772" i="6"/>
  <c r="B773" i="6"/>
  <c r="C773" i="6"/>
  <c r="E773" i="6"/>
  <c r="F773" i="6"/>
  <c r="B774" i="6"/>
  <c r="C774" i="6"/>
  <c r="E774" i="6"/>
  <c r="F774" i="6"/>
  <c r="B775" i="6"/>
  <c r="C775" i="6"/>
  <c r="E775" i="6"/>
  <c r="F775" i="6"/>
  <c r="B776" i="6"/>
  <c r="C776" i="6"/>
  <c r="E776" i="6"/>
  <c r="F776" i="6"/>
  <c r="B777" i="6"/>
  <c r="C777" i="6"/>
  <c r="E777" i="6"/>
  <c r="F777" i="6"/>
  <c r="B778" i="6"/>
  <c r="C778" i="6"/>
  <c r="E778" i="6"/>
  <c r="F778" i="6"/>
  <c r="B779" i="6"/>
  <c r="C779" i="6"/>
  <c r="E779" i="6"/>
  <c r="F779" i="6"/>
  <c r="B780" i="6"/>
  <c r="C780" i="6"/>
  <c r="E780" i="6"/>
  <c r="F780" i="6"/>
  <c r="B781" i="6"/>
  <c r="C781" i="6"/>
  <c r="E781" i="6"/>
  <c r="F781" i="6"/>
  <c r="B782" i="6"/>
  <c r="C782" i="6"/>
  <c r="E782" i="6"/>
  <c r="F782" i="6"/>
  <c r="B783" i="6"/>
  <c r="C783" i="6"/>
  <c r="E783" i="6"/>
  <c r="F783" i="6"/>
  <c r="B784" i="6"/>
  <c r="C784" i="6"/>
  <c r="E784" i="6"/>
  <c r="F784" i="6"/>
  <c r="B785" i="6"/>
  <c r="C785" i="6"/>
  <c r="E785" i="6"/>
  <c r="F785" i="6"/>
  <c r="B786" i="6"/>
  <c r="C786" i="6"/>
  <c r="E786" i="6"/>
  <c r="F786" i="6"/>
  <c r="B787" i="6"/>
  <c r="C787" i="6"/>
  <c r="E787" i="6"/>
  <c r="F787" i="6"/>
  <c r="B788" i="6"/>
  <c r="C788" i="6"/>
  <c r="E788" i="6"/>
  <c r="F788" i="6"/>
  <c r="B789" i="6"/>
  <c r="C789" i="6"/>
  <c r="E789" i="6"/>
  <c r="F789" i="6"/>
  <c r="B790" i="6"/>
  <c r="C790" i="6"/>
  <c r="E790" i="6"/>
  <c r="F790" i="6"/>
  <c r="B791" i="6"/>
  <c r="C791" i="6"/>
  <c r="E791" i="6"/>
  <c r="F791" i="6"/>
  <c r="B792" i="6"/>
  <c r="C792" i="6"/>
  <c r="E792" i="6"/>
  <c r="F792" i="6"/>
  <c r="B793" i="6"/>
  <c r="C793" i="6"/>
  <c r="E793" i="6"/>
  <c r="F793" i="6"/>
  <c r="B794" i="6"/>
  <c r="C794" i="6"/>
  <c r="E794" i="6"/>
  <c r="F794" i="6"/>
  <c r="B795" i="6"/>
  <c r="C795" i="6"/>
  <c r="E795" i="6"/>
  <c r="F795" i="6"/>
  <c r="B796" i="6"/>
  <c r="C796" i="6"/>
  <c r="E796" i="6"/>
  <c r="F796" i="6"/>
  <c r="B797" i="6"/>
  <c r="C797" i="6"/>
  <c r="E797" i="6"/>
  <c r="F797" i="6"/>
  <c r="B798" i="6"/>
  <c r="C798" i="6"/>
  <c r="E798" i="6"/>
  <c r="F798" i="6"/>
  <c r="B799" i="6"/>
  <c r="C799" i="6"/>
  <c r="E799" i="6"/>
  <c r="F799" i="6"/>
  <c r="B800" i="6"/>
  <c r="C800" i="6"/>
  <c r="E800" i="6"/>
  <c r="F800" i="6"/>
  <c r="B801" i="6"/>
  <c r="C801" i="6"/>
  <c r="E801" i="6"/>
  <c r="F801" i="6"/>
  <c r="B802" i="6"/>
  <c r="C802" i="6"/>
  <c r="E802" i="6"/>
  <c r="F802" i="6"/>
  <c r="B803" i="6"/>
  <c r="C803" i="6"/>
  <c r="E803" i="6"/>
  <c r="F803" i="6"/>
  <c r="B804" i="6"/>
  <c r="C804" i="6"/>
  <c r="E804" i="6"/>
  <c r="F804" i="6"/>
  <c r="B805" i="6"/>
  <c r="C805" i="6"/>
  <c r="E805" i="6"/>
  <c r="F805" i="6"/>
  <c r="B806" i="6"/>
  <c r="C806" i="6"/>
  <c r="E806" i="6"/>
  <c r="F806" i="6"/>
  <c r="B807" i="6"/>
  <c r="C807" i="6"/>
  <c r="E807" i="6"/>
  <c r="F807" i="6"/>
  <c r="B808" i="6"/>
  <c r="C808" i="6"/>
  <c r="E808" i="6"/>
  <c r="F808" i="6"/>
  <c r="B809" i="6"/>
  <c r="C809" i="6"/>
  <c r="E809" i="6"/>
  <c r="F809" i="6"/>
  <c r="B810" i="6"/>
  <c r="C810" i="6"/>
  <c r="E810" i="6"/>
  <c r="F810" i="6"/>
  <c r="B811" i="6"/>
  <c r="C811" i="6"/>
  <c r="E811" i="6"/>
  <c r="F811" i="6"/>
  <c r="B812" i="6"/>
  <c r="C812" i="6"/>
  <c r="E812" i="6"/>
  <c r="F812" i="6"/>
  <c r="B813" i="6"/>
  <c r="C813" i="6"/>
  <c r="E813" i="6"/>
  <c r="F813" i="6"/>
  <c r="B814" i="6"/>
  <c r="C814" i="6"/>
  <c r="E814" i="6"/>
  <c r="F814" i="6"/>
  <c r="B815" i="6"/>
  <c r="C815" i="6"/>
  <c r="E815" i="6"/>
  <c r="F815" i="6"/>
  <c r="B816" i="6"/>
  <c r="C816" i="6"/>
  <c r="E816" i="6"/>
  <c r="F816" i="6"/>
  <c r="B817" i="6"/>
  <c r="C817" i="6"/>
  <c r="E817" i="6"/>
  <c r="F817" i="6"/>
  <c r="B818" i="6"/>
  <c r="C818" i="6"/>
  <c r="E818" i="6"/>
  <c r="F818" i="6"/>
  <c r="B819" i="6"/>
  <c r="C819" i="6"/>
  <c r="E819" i="6"/>
  <c r="F819" i="6"/>
  <c r="B820" i="6"/>
  <c r="C820" i="6"/>
  <c r="E820" i="6"/>
  <c r="F820" i="6"/>
  <c r="B821" i="6"/>
  <c r="C821" i="6"/>
  <c r="E821" i="6"/>
  <c r="F821" i="6"/>
  <c r="B822" i="6"/>
  <c r="C822" i="6"/>
  <c r="E822" i="6"/>
  <c r="F822" i="6"/>
  <c r="B823" i="6"/>
  <c r="C823" i="6"/>
  <c r="E823" i="6"/>
  <c r="F823" i="6"/>
  <c r="B824" i="6"/>
  <c r="C824" i="6"/>
  <c r="E824" i="6"/>
  <c r="F824" i="6"/>
  <c r="B825" i="6"/>
  <c r="C825" i="6"/>
  <c r="E825" i="6"/>
  <c r="F825" i="6"/>
  <c r="B826" i="6"/>
  <c r="C826" i="6"/>
  <c r="E826" i="6"/>
  <c r="F826" i="6"/>
  <c r="B827" i="6"/>
  <c r="C827" i="6"/>
  <c r="E827" i="6"/>
  <c r="F827" i="6"/>
  <c r="B828" i="6"/>
  <c r="C828" i="6"/>
  <c r="E828" i="6"/>
  <c r="F828" i="6"/>
  <c r="B829" i="6"/>
  <c r="C829" i="6"/>
  <c r="E829" i="6"/>
  <c r="F829" i="6"/>
  <c r="B830" i="6"/>
  <c r="C830" i="6"/>
  <c r="E830" i="6"/>
  <c r="F830" i="6"/>
  <c r="B831" i="6"/>
  <c r="C831" i="6"/>
  <c r="E831" i="6"/>
  <c r="F831" i="6"/>
  <c r="B832" i="6"/>
  <c r="C832" i="6"/>
  <c r="E832" i="6"/>
  <c r="F832" i="6"/>
  <c r="B833" i="6"/>
  <c r="C833" i="6"/>
  <c r="E833" i="6"/>
  <c r="F833" i="6"/>
  <c r="B834" i="6"/>
  <c r="C834" i="6"/>
  <c r="E834" i="6"/>
  <c r="F834" i="6"/>
  <c r="B835" i="6"/>
  <c r="C835" i="6"/>
  <c r="E835" i="6"/>
  <c r="F835" i="6"/>
  <c r="B836" i="6"/>
  <c r="C836" i="6"/>
  <c r="E836" i="6"/>
  <c r="F836" i="6"/>
  <c r="B837" i="6"/>
  <c r="C837" i="6"/>
  <c r="E837" i="6"/>
  <c r="F837" i="6"/>
  <c r="B838" i="6"/>
  <c r="C838" i="6"/>
  <c r="E838" i="6"/>
  <c r="F838" i="6"/>
  <c r="B839" i="6"/>
  <c r="C839" i="6"/>
  <c r="E839" i="6"/>
  <c r="F839" i="6"/>
  <c r="B840" i="6"/>
  <c r="C840" i="6"/>
  <c r="E840" i="6"/>
  <c r="F840" i="6"/>
  <c r="B841" i="6"/>
  <c r="C841" i="6"/>
  <c r="E841" i="6"/>
  <c r="F841" i="6"/>
  <c r="B842" i="6"/>
  <c r="C842" i="6"/>
  <c r="E842" i="6"/>
  <c r="F842" i="6"/>
  <c r="B843" i="6"/>
  <c r="C843" i="6"/>
  <c r="E843" i="6"/>
  <c r="F843" i="6"/>
  <c r="B844" i="6"/>
  <c r="C844" i="6"/>
  <c r="E844" i="6"/>
  <c r="F844" i="6"/>
  <c r="B845" i="6"/>
  <c r="C845" i="6"/>
  <c r="E845" i="6"/>
  <c r="F845" i="6"/>
  <c r="B846" i="6"/>
  <c r="C846" i="6"/>
  <c r="E846" i="6"/>
  <c r="F846" i="6"/>
  <c r="B847" i="6"/>
  <c r="C847" i="6"/>
  <c r="E847" i="6"/>
  <c r="F847" i="6"/>
  <c r="B848" i="6"/>
  <c r="C848" i="6"/>
  <c r="E848" i="6"/>
  <c r="F848" i="6"/>
  <c r="B849" i="6"/>
  <c r="C849" i="6"/>
  <c r="E849" i="6"/>
  <c r="F849" i="6"/>
  <c r="B850" i="6"/>
  <c r="C850" i="6"/>
  <c r="E850" i="6"/>
  <c r="F850" i="6"/>
  <c r="B851" i="6"/>
  <c r="C851" i="6"/>
  <c r="E851" i="6"/>
  <c r="F851" i="6"/>
  <c r="B852" i="6"/>
  <c r="C852" i="6"/>
  <c r="E852" i="6"/>
  <c r="F852" i="6"/>
  <c r="B853" i="6"/>
  <c r="C853" i="6"/>
  <c r="E853" i="6"/>
  <c r="F853" i="6"/>
  <c r="B854" i="6"/>
  <c r="C854" i="6"/>
  <c r="E854" i="6"/>
  <c r="F854" i="6"/>
  <c r="B855" i="6"/>
  <c r="C855" i="6"/>
  <c r="E855" i="6"/>
  <c r="F855" i="6"/>
  <c r="B856" i="6"/>
  <c r="C856" i="6"/>
  <c r="E856" i="6"/>
  <c r="F856" i="6"/>
  <c r="B857" i="6"/>
  <c r="C857" i="6"/>
  <c r="E857" i="6"/>
  <c r="F857" i="6"/>
  <c r="B858" i="6"/>
  <c r="C858" i="6"/>
  <c r="E858" i="6"/>
  <c r="F858" i="6"/>
  <c r="B859" i="6"/>
  <c r="C859" i="6"/>
  <c r="E859" i="6"/>
  <c r="F859" i="6"/>
  <c r="B860" i="6"/>
  <c r="C860" i="6"/>
  <c r="E860" i="6"/>
  <c r="F860" i="6"/>
  <c r="B861" i="6"/>
  <c r="C861" i="6"/>
  <c r="E861" i="6"/>
  <c r="F861" i="6"/>
  <c r="B862" i="6"/>
  <c r="C862" i="6"/>
  <c r="E862" i="6"/>
  <c r="F862" i="6"/>
  <c r="B863" i="6"/>
  <c r="C863" i="6"/>
  <c r="E863" i="6"/>
  <c r="F863" i="6"/>
  <c r="B864" i="6"/>
  <c r="C864" i="6"/>
  <c r="E864" i="6"/>
  <c r="F864" i="6"/>
  <c r="B865" i="6"/>
  <c r="C865" i="6"/>
  <c r="E865" i="6"/>
  <c r="F865" i="6"/>
  <c r="B866" i="6"/>
  <c r="C866" i="6"/>
  <c r="E866" i="6"/>
  <c r="F866" i="6"/>
  <c r="B867" i="6"/>
  <c r="C867" i="6"/>
  <c r="E867" i="6"/>
  <c r="F867" i="6"/>
  <c r="B868" i="6"/>
  <c r="C868" i="6"/>
  <c r="E868" i="6"/>
  <c r="F868" i="6"/>
  <c r="B869" i="6"/>
  <c r="C869" i="6"/>
  <c r="E869" i="6"/>
  <c r="F869" i="6"/>
  <c r="B870" i="6"/>
  <c r="C870" i="6"/>
  <c r="E870" i="6"/>
  <c r="F870" i="6"/>
  <c r="B871" i="6"/>
  <c r="C871" i="6"/>
  <c r="E871" i="6"/>
  <c r="F871" i="6"/>
  <c r="B872" i="6"/>
  <c r="C872" i="6"/>
  <c r="E872" i="6"/>
  <c r="F872" i="6"/>
  <c r="B873" i="6"/>
  <c r="C873" i="6"/>
  <c r="E873" i="6"/>
  <c r="F873" i="6"/>
  <c r="B874" i="6"/>
  <c r="C874" i="6"/>
  <c r="E874" i="6"/>
  <c r="F874" i="6"/>
  <c r="B875" i="6"/>
  <c r="C875" i="6"/>
  <c r="E875" i="6"/>
  <c r="F875" i="6"/>
  <c r="B876" i="6"/>
  <c r="C876" i="6"/>
  <c r="E876" i="6"/>
  <c r="F876" i="6"/>
  <c r="B877" i="6"/>
  <c r="C877" i="6"/>
  <c r="E877" i="6"/>
  <c r="F877" i="6"/>
  <c r="B878" i="6"/>
  <c r="C878" i="6"/>
  <c r="E878" i="6"/>
  <c r="F878" i="6"/>
  <c r="B879" i="6"/>
  <c r="C879" i="6"/>
  <c r="E879" i="6"/>
  <c r="F879" i="6"/>
  <c r="B880" i="6"/>
  <c r="C880" i="6"/>
  <c r="E880" i="6"/>
  <c r="F880" i="6"/>
  <c r="B881" i="6"/>
  <c r="C881" i="6"/>
  <c r="E881" i="6"/>
  <c r="F881" i="6"/>
  <c r="B882" i="6"/>
  <c r="C882" i="6"/>
  <c r="E882" i="6"/>
  <c r="F882" i="6"/>
  <c r="B883" i="6"/>
  <c r="C883" i="6"/>
  <c r="E883" i="6"/>
  <c r="F883" i="6"/>
  <c r="B884" i="6"/>
  <c r="C884" i="6"/>
  <c r="E884" i="6"/>
  <c r="F884" i="6"/>
  <c r="B885" i="6"/>
  <c r="C885" i="6"/>
  <c r="E885" i="6"/>
  <c r="F885" i="6"/>
  <c r="B886" i="6"/>
  <c r="C886" i="6"/>
  <c r="E886" i="6"/>
  <c r="F886" i="6"/>
  <c r="B887" i="6"/>
  <c r="C887" i="6"/>
  <c r="E887" i="6"/>
  <c r="F887" i="6"/>
  <c r="B888" i="6"/>
  <c r="C888" i="6"/>
  <c r="E888" i="6"/>
  <c r="F888" i="6"/>
  <c r="B889" i="6"/>
  <c r="C889" i="6"/>
  <c r="E889" i="6"/>
  <c r="F889" i="6"/>
  <c r="B890" i="6"/>
  <c r="C890" i="6"/>
  <c r="E890" i="6"/>
  <c r="F890" i="6"/>
  <c r="B891" i="6"/>
  <c r="C891" i="6"/>
  <c r="E891" i="6"/>
  <c r="F891" i="6"/>
  <c r="B892" i="6"/>
  <c r="C892" i="6"/>
  <c r="E892" i="6"/>
  <c r="F892" i="6"/>
  <c r="B893" i="6"/>
  <c r="C893" i="6"/>
  <c r="E893" i="6"/>
  <c r="F893" i="6"/>
  <c r="B894" i="6"/>
  <c r="C894" i="6"/>
  <c r="E894" i="6"/>
  <c r="F894" i="6"/>
  <c r="B895" i="6"/>
  <c r="C895" i="6"/>
  <c r="E895" i="6"/>
  <c r="F895" i="6"/>
  <c r="B896" i="6"/>
  <c r="C896" i="6"/>
  <c r="E896" i="6"/>
  <c r="F896" i="6"/>
  <c r="B897" i="6"/>
  <c r="C897" i="6"/>
  <c r="E897" i="6"/>
  <c r="F897" i="6"/>
  <c r="B898" i="6"/>
  <c r="C898" i="6"/>
  <c r="E898" i="6"/>
  <c r="F898" i="6"/>
  <c r="B899" i="6"/>
  <c r="C899" i="6"/>
  <c r="E899" i="6"/>
  <c r="F899" i="6"/>
  <c r="B900" i="6"/>
  <c r="C900" i="6"/>
  <c r="E900" i="6"/>
  <c r="F900" i="6"/>
  <c r="B901" i="6"/>
  <c r="C901" i="6"/>
  <c r="E901" i="6"/>
  <c r="F901" i="6"/>
  <c r="B902" i="6"/>
  <c r="C902" i="6"/>
  <c r="E902" i="6"/>
  <c r="F902" i="6"/>
  <c r="B903" i="6"/>
  <c r="C903" i="6"/>
  <c r="E903" i="6"/>
  <c r="F903" i="6"/>
  <c r="B904" i="6"/>
  <c r="C904" i="6"/>
  <c r="E904" i="6"/>
  <c r="F904" i="6"/>
  <c r="B905" i="6"/>
  <c r="C905" i="6"/>
  <c r="E905" i="6"/>
  <c r="F905" i="6"/>
  <c r="B906" i="6"/>
  <c r="C906" i="6"/>
  <c r="E906" i="6"/>
  <c r="F906" i="6"/>
  <c r="B907" i="6"/>
  <c r="C907" i="6"/>
  <c r="E907" i="6"/>
  <c r="F907" i="6"/>
  <c r="B908" i="6"/>
  <c r="C908" i="6"/>
  <c r="E908" i="6"/>
  <c r="F908" i="6"/>
  <c r="B909" i="6"/>
  <c r="C909" i="6"/>
  <c r="E909" i="6"/>
  <c r="F909" i="6"/>
  <c r="B910" i="6"/>
  <c r="C910" i="6"/>
  <c r="E910" i="6"/>
  <c r="F910" i="6"/>
  <c r="B911" i="6"/>
  <c r="C911" i="6"/>
  <c r="E911" i="6"/>
  <c r="F911" i="6"/>
  <c r="B912" i="6"/>
  <c r="C912" i="6"/>
  <c r="E912" i="6"/>
  <c r="F912" i="6"/>
  <c r="B913" i="6"/>
  <c r="C913" i="6"/>
  <c r="E913" i="6"/>
  <c r="F913" i="6"/>
  <c r="B914" i="6"/>
  <c r="C914" i="6"/>
  <c r="E914" i="6"/>
  <c r="F914" i="6"/>
  <c r="B915" i="6"/>
  <c r="C915" i="6"/>
  <c r="E915" i="6"/>
  <c r="F915" i="6"/>
  <c r="B916" i="6"/>
  <c r="C916" i="6"/>
  <c r="E916" i="6"/>
  <c r="F916" i="6"/>
  <c r="B917" i="6"/>
  <c r="C917" i="6"/>
  <c r="E917" i="6"/>
  <c r="F917" i="6"/>
  <c r="B918" i="6"/>
  <c r="C918" i="6"/>
  <c r="E918" i="6"/>
  <c r="F918" i="6"/>
  <c r="B919" i="6"/>
  <c r="C919" i="6"/>
  <c r="E919" i="6"/>
  <c r="F919" i="6"/>
  <c r="B920" i="6"/>
  <c r="C920" i="6"/>
  <c r="E920" i="6"/>
  <c r="F920" i="6"/>
  <c r="B921" i="6"/>
  <c r="C921" i="6"/>
  <c r="E921" i="6"/>
  <c r="F921" i="6"/>
  <c r="B922" i="6"/>
  <c r="C922" i="6"/>
  <c r="E922" i="6"/>
  <c r="F922" i="6"/>
  <c r="B923" i="6"/>
  <c r="C923" i="6"/>
  <c r="E923" i="6"/>
  <c r="F923" i="6"/>
  <c r="B924" i="6"/>
  <c r="C924" i="6"/>
  <c r="E924" i="6"/>
  <c r="F924" i="6"/>
  <c r="B925" i="6"/>
  <c r="C925" i="6"/>
  <c r="E925" i="6"/>
  <c r="F925" i="6"/>
  <c r="B926" i="6"/>
  <c r="C926" i="6"/>
  <c r="E926" i="6"/>
  <c r="F926" i="6"/>
  <c r="B927" i="6"/>
  <c r="C927" i="6"/>
  <c r="E927" i="6"/>
  <c r="F927" i="6"/>
  <c r="B928" i="6"/>
  <c r="C928" i="6"/>
  <c r="E928" i="6"/>
  <c r="F928" i="6"/>
  <c r="B929" i="6"/>
  <c r="C929" i="6"/>
  <c r="E929" i="6"/>
  <c r="F929" i="6"/>
  <c r="B930" i="6"/>
  <c r="C930" i="6"/>
  <c r="E930" i="6"/>
  <c r="F930" i="6"/>
  <c r="B931" i="6"/>
  <c r="C931" i="6"/>
  <c r="E931" i="6"/>
  <c r="F931" i="6"/>
  <c r="B932" i="6"/>
  <c r="C932" i="6"/>
  <c r="E932" i="6"/>
  <c r="F932" i="6"/>
  <c r="B933" i="6"/>
  <c r="C933" i="6"/>
  <c r="E933" i="6"/>
  <c r="F933" i="6"/>
  <c r="B934" i="6"/>
  <c r="C934" i="6"/>
  <c r="E934" i="6"/>
  <c r="F934" i="6"/>
  <c r="B935" i="6"/>
  <c r="C935" i="6"/>
  <c r="E935" i="6"/>
  <c r="F935" i="6"/>
  <c r="B936" i="6"/>
  <c r="C936" i="6"/>
  <c r="E936" i="6"/>
  <c r="F936" i="6"/>
  <c r="B937" i="6"/>
  <c r="C937" i="6"/>
  <c r="E937" i="6"/>
  <c r="F937" i="6"/>
  <c r="B938" i="6"/>
  <c r="C938" i="6"/>
  <c r="E938" i="6"/>
  <c r="F938" i="6"/>
  <c r="B939" i="6"/>
  <c r="C939" i="6"/>
  <c r="E939" i="6"/>
  <c r="F939" i="6"/>
  <c r="B940" i="6"/>
  <c r="C940" i="6"/>
  <c r="E940" i="6"/>
  <c r="F940" i="6"/>
  <c r="B941" i="6"/>
  <c r="C941" i="6"/>
  <c r="E941" i="6"/>
  <c r="F941" i="6"/>
  <c r="B942" i="6"/>
  <c r="C942" i="6"/>
  <c r="E942" i="6"/>
  <c r="F942" i="6"/>
  <c r="B943" i="6"/>
  <c r="C943" i="6"/>
  <c r="E943" i="6"/>
  <c r="F943" i="6"/>
  <c r="B944" i="6"/>
  <c r="C944" i="6"/>
  <c r="E944" i="6"/>
  <c r="F944" i="6"/>
  <c r="B945" i="6"/>
  <c r="C945" i="6"/>
  <c r="E945" i="6"/>
  <c r="F945" i="6"/>
  <c r="B946" i="6"/>
  <c r="C946" i="6"/>
  <c r="E946" i="6"/>
  <c r="F946" i="6"/>
  <c r="B947" i="6"/>
  <c r="C947" i="6"/>
  <c r="E947" i="6"/>
  <c r="F947" i="6"/>
  <c r="B948" i="6"/>
  <c r="C948" i="6"/>
  <c r="E948" i="6"/>
  <c r="F948" i="6"/>
  <c r="B949" i="6"/>
  <c r="C949" i="6"/>
  <c r="E949" i="6"/>
  <c r="F949" i="6"/>
  <c r="B950" i="6"/>
  <c r="C950" i="6"/>
  <c r="E950" i="6"/>
  <c r="F950" i="6"/>
  <c r="B951" i="6"/>
  <c r="C951" i="6"/>
  <c r="E951" i="6"/>
  <c r="F951" i="6"/>
  <c r="B952" i="6"/>
  <c r="C952" i="6"/>
  <c r="E952" i="6"/>
  <c r="F952" i="6"/>
  <c r="B953" i="6"/>
  <c r="C953" i="6"/>
  <c r="E953" i="6"/>
  <c r="F953" i="6"/>
  <c r="B954" i="6"/>
  <c r="C954" i="6"/>
  <c r="E954" i="6"/>
  <c r="F954" i="6"/>
  <c r="B955" i="6"/>
  <c r="C955" i="6"/>
  <c r="E955" i="6"/>
  <c r="F955" i="6"/>
  <c r="B956" i="6"/>
  <c r="C956" i="6"/>
  <c r="E956" i="6"/>
  <c r="F956" i="6"/>
  <c r="B957" i="6"/>
  <c r="C957" i="6"/>
  <c r="E957" i="6"/>
  <c r="F957" i="6"/>
  <c r="B958" i="6"/>
  <c r="C958" i="6"/>
  <c r="E958" i="6"/>
  <c r="F958" i="6"/>
  <c r="B959" i="6"/>
  <c r="C959" i="6"/>
  <c r="E959" i="6"/>
  <c r="F959" i="6"/>
  <c r="B960" i="6"/>
  <c r="C960" i="6"/>
  <c r="E960" i="6"/>
  <c r="F960" i="6"/>
  <c r="B961" i="6"/>
  <c r="C961" i="6"/>
  <c r="E961" i="6"/>
  <c r="F961" i="6"/>
  <c r="B962" i="6"/>
  <c r="C962" i="6"/>
  <c r="E962" i="6"/>
  <c r="F962" i="6"/>
  <c r="B963" i="6"/>
  <c r="C963" i="6"/>
  <c r="E963" i="6"/>
  <c r="F963" i="6"/>
  <c r="B964" i="6"/>
  <c r="C964" i="6"/>
  <c r="E964" i="6"/>
  <c r="F964" i="6"/>
  <c r="B965" i="6"/>
  <c r="C965" i="6"/>
  <c r="E965" i="6"/>
  <c r="F965" i="6"/>
  <c r="B966" i="6"/>
  <c r="C966" i="6"/>
  <c r="E966" i="6"/>
  <c r="F966" i="6"/>
  <c r="B967" i="6"/>
  <c r="C967" i="6"/>
  <c r="E967" i="6"/>
  <c r="F967" i="6"/>
  <c r="B968" i="6"/>
  <c r="C968" i="6"/>
  <c r="E968" i="6"/>
  <c r="F968" i="6"/>
  <c r="B969" i="6"/>
  <c r="C969" i="6"/>
  <c r="E969" i="6"/>
  <c r="F969" i="6"/>
  <c r="B970" i="6"/>
  <c r="C970" i="6"/>
  <c r="E970" i="6"/>
  <c r="F970" i="6"/>
  <c r="B971" i="6"/>
  <c r="C971" i="6"/>
  <c r="E971" i="6"/>
  <c r="F971" i="6"/>
  <c r="B972" i="6"/>
  <c r="C972" i="6"/>
  <c r="E972" i="6"/>
  <c r="F972" i="6"/>
  <c r="B973" i="6"/>
  <c r="C973" i="6"/>
  <c r="E973" i="6"/>
  <c r="F973" i="6"/>
  <c r="B974" i="6"/>
  <c r="C974" i="6"/>
  <c r="E974" i="6"/>
  <c r="F974" i="6"/>
  <c r="B975" i="6"/>
  <c r="C975" i="6"/>
  <c r="E975" i="6"/>
  <c r="F975" i="6"/>
  <c r="B976" i="6"/>
  <c r="C976" i="6"/>
  <c r="E976" i="6"/>
  <c r="F976" i="6"/>
  <c r="B977" i="6"/>
  <c r="C977" i="6"/>
  <c r="E977" i="6"/>
  <c r="F977" i="6"/>
  <c r="B978" i="6"/>
  <c r="C978" i="6"/>
  <c r="E978" i="6"/>
  <c r="F978" i="6"/>
  <c r="B979" i="6"/>
  <c r="C979" i="6"/>
  <c r="E979" i="6"/>
  <c r="F979" i="6"/>
  <c r="B980" i="6"/>
  <c r="C980" i="6"/>
  <c r="E980" i="6"/>
  <c r="F980" i="6"/>
  <c r="B981" i="6"/>
  <c r="C981" i="6"/>
  <c r="E981" i="6"/>
  <c r="F981" i="6"/>
  <c r="B982" i="6"/>
  <c r="C982" i="6"/>
  <c r="E982" i="6"/>
  <c r="F982" i="6"/>
  <c r="B983" i="6"/>
  <c r="C983" i="6"/>
  <c r="E983" i="6"/>
  <c r="F983" i="6"/>
  <c r="B984" i="6"/>
  <c r="C984" i="6"/>
  <c r="E984" i="6"/>
  <c r="F984" i="6"/>
  <c r="B985" i="6"/>
  <c r="C985" i="6"/>
  <c r="E985" i="6"/>
  <c r="F985" i="6"/>
  <c r="B986" i="6"/>
  <c r="C986" i="6"/>
  <c r="E986" i="6"/>
  <c r="F986" i="6"/>
  <c r="B987" i="6"/>
  <c r="C987" i="6"/>
  <c r="E987" i="6"/>
  <c r="F987" i="6"/>
  <c r="B988" i="6"/>
  <c r="C988" i="6"/>
  <c r="E988" i="6"/>
  <c r="F988" i="6"/>
  <c r="B989" i="6"/>
  <c r="C989" i="6"/>
  <c r="E989" i="6"/>
  <c r="F989" i="6"/>
  <c r="B990" i="6"/>
  <c r="C990" i="6"/>
  <c r="E990" i="6"/>
  <c r="F990" i="6"/>
  <c r="B991" i="6"/>
  <c r="C991" i="6"/>
  <c r="E991" i="6"/>
  <c r="F991" i="6"/>
  <c r="B992" i="6"/>
  <c r="C992" i="6"/>
  <c r="E992" i="6"/>
  <c r="F992" i="6"/>
  <c r="B993" i="6"/>
  <c r="C993" i="6"/>
  <c r="D993" i="6"/>
  <c r="E993" i="6"/>
  <c r="F993" i="6"/>
  <c r="B994" i="6"/>
  <c r="C994" i="6"/>
  <c r="D994" i="6"/>
  <c r="E994" i="6"/>
  <c r="F994" i="6"/>
  <c r="B995" i="6"/>
  <c r="C995" i="6"/>
  <c r="D995" i="6"/>
  <c r="E995" i="6"/>
  <c r="F995" i="6"/>
  <c r="B996" i="6"/>
  <c r="C996" i="6"/>
  <c r="D996" i="6"/>
  <c r="E996" i="6"/>
  <c r="F996" i="6"/>
  <c r="B997" i="6"/>
  <c r="C997" i="6"/>
  <c r="D997" i="6"/>
  <c r="E997" i="6"/>
  <c r="F997" i="6"/>
  <c r="B998" i="6"/>
  <c r="C998" i="6"/>
  <c r="D998" i="6"/>
  <c r="E998" i="6"/>
  <c r="F998" i="6"/>
  <c r="B999" i="6"/>
  <c r="C999" i="6"/>
  <c r="D999" i="6"/>
  <c r="E999" i="6"/>
  <c r="F999" i="6"/>
  <c r="B1000" i="6"/>
  <c r="C1000" i="6"/>
  <c r="D1000" i="6"/>
  <c r="E1000" i="6"/>
  <c r="F1000" i="6"/>
  <c r="H993" i="6" l="1"/>
  <c r="H995" i="6"/>
  <c r="H254" i="6"/>
  <c r="H126" i="6"/>
  <c r="H623" i="6"/>
  <c r="H620" i="6"/>
  <c r="H615" i="6"/>
  <c r="H596" i="6"/>
  <c r="H428" i="6"/>
  <c r="H404" i="6"/>
  <c r="H187" i="6"/>
  <c r="H865" i="6"/>
  <c r="H849" i="6"/>
  <c r="H825" i="6"/>
  <c r="H622" i="6"/>
  <c r="H582" i="6"/>
  <c r="H262" i="6"/>
  <c r="H248" i="6"/>
  <c r="H208" i="6"/>
  <c r="H192" i="6"/>
  <c r="H547" i="6"/>
  <c r="H355" i="6"/>
  <c r="H331" i="6"/>
  <c r="H1000" i="6"/>
  <c r="H976" i="6"/>
  <c r="H932" i="6"/>
  <c r="H685" i="6"/>
  <c r="H669" i="6"/>
  <c r="H501" i="6"/>
  <c r="H477" i="6"/>
  <c r="H840" i="6"/>
  <c r="H816" i="6"/>
  <c r="H776" i="6"/>
  <c r="H752" i="6"/>
  <c r="H744" i="6"/>
  <c r="H740" i="6"/>
  <c r="H688" i="6"/>
  <c r="H312" i="6"/>
  <c r="H181" i="6"/>
  <c r="H985" i="6"/>
  <c r="H981" i="6"/>
  <c r="H969" i="6"/>
  <c r="H965" i="6"/>
  <c r="H929" i="6"/>
  <c r="H921" i="6"/>
  <c r="H905" i="6"/>
  <c r="H893" i="6"/>
  <c r="H801" i="6"/>
  <c r="H401" i="6"/>
  <c r="H393" i="6"/>
  <c r="H382" i="6"/>
  <c r="H337" i="6"/>
  <c r="H334" i="6"/>
  <c r="H329" i="6"/>
  <c r="H977" i="6"/>
  <c r="H961" i="6"/>
  <c r="H957" i="6"/>
  <c r="H917" i="6"/>
  <c r="H901" i="6"/>
  <c r="H897" i="6"/>
  <c r="H994" i="6"/>
  <c r="H990" i="6"/>
  <c r="H966" i="6"/>
  <c r="H942" i="6"/>
  <c r="H774" i="6"/>
  <c r="H726" i="6"/>
  <c r="H702" i="6"/>
  <c r="H446" i="6"/>
  <c r="H406" i="6"/>
  <c r="H190" i="6"/>
  <c r="H978" i="6"/>
  <c r="H975" i="6"/>
  <c r="H911" i="6"/>
  <c r="H871" i="6"/>
  <c r="H847" i="6"/>
  <c r="H783" i="6"/>
  <c r="H686" i="6"/>
  <c r="H638" i="6"/>
  <c r="H574" i="6"/>
  <c r="H566" i="6"/>
  <c r="H550" i="6"/>
  <c r="H546" i="6"/>
  <c r="H542" i="6"/>
  <c r="H538" i="6"/>
  <c r="H510" i="6"/>
  <c r="H502" i="6"/>
  <c r="H486" i="6"/>
  <c r="H482" i="6"/>
  <c r="H478" i="6"/>
  <c r="H474" i="6"/>
  <c r="H318" i="6"/>
  <c r="H238" i="6"/>
  <c r="H214" i="6"/>
  <c r="H523" i="6"/>
  <c r="H987" i="6"/>
  <c r="H679" i="6"/>
  <c r="H163" i="6"/>
  <c r="H972" i="6"/>
  <c r="H956" i="6"/>
  <c r="H937" i="6"/>
  <c r="H923" i="6"/>
  <c r="H883" i="6"/>
  <c r="H778" i="6"/>
  <c r="H738" i="6"/>
  <c r="H710" i="6"/>
  <c r="H706" i="6"/>
  <c r="H662" i="6"/>
  <c r="H593" i="6"/>
  <c r="H585" i="6"/>
  <c r="H558" i="6"/>
  <c r="H518" i="6"/>
  <c r="H504" i="6"/>
  <c r="H448" i="6"/>
  <c r="H437" i="6"/>
  <c r="H413" i="6"/>
  <c r="H367" i="6"/>
  <c r="H364" i="6"/>
  <c r="H359" i="6"/>
  <c r="H340" i="6"/>
  <c r="H319" i="6"/>
  <c r="H315" i="6"/>
  <c r="H291" i="6"/>
  <c r="H246" i="6"/>
  <c r="H242" i="6"/>
  <c r="H230" i="6"/>
  <c r="H226" i="6"/>
  <c r="H222" i="6"/>
  <c r="H218" i="6"/>
  <c r="H206" i="6"/>
  <c r="H174" i="6"/>
  <c r="H150" i="6"/>
  <c r="H952" i="6"/>
  <c r="H945" i="6"/>
  <c r="H944" i="6"/>
  <c r="H908" i="6"/>
  <c r="H892" i="6"/>
  <c r="H873" i="6"/>
  <c r="H868" i="6"/>
  <c r="H859" i="6"/>
  <c r="H819" i="6"/>
  <c r="H739" i="6"/>
  <c r="H715" i="6"/>
  <c r="H670" i="6"/>
  <c r="H666" i="6"/>
  <c r="H598" i="6"/>
  <c r="H529" i="6"/>
  <c r="H521" i="6"/>
  <c r="H494" i="6"/>
  <c r="H454" i="6"/>
  <c r="H440" i="6"/>
  <c r="H384" i="6"/>
  <c r="H373" i="6"/>
  <c r="H349" i="6"/>
  <c r="H303" i="6"/>
  <c r="H300" i="6"/>
  <c r="H295" i="6"/>
  <c r="H284" i="6"/>
  <c r="H255" i="6"/>
  <c r="H251" i="6"/>
  <c r="H227" i="6"/>
  <c r="H182" i="6"/>
  <c r="H178" i="6"/>
  <c r="H166" i="6"/>
  <c r="H162" i="6"/>
  <c r="H158" i="6"/>
  <c r="H154" i="6"/>
  <c r="H953" i="6"/>
  <c r="H904" i="6"/>
  <c r="H880" i="6"/>
  <c r="H828" i="6"/>
  <c r="H809" i="6"/>
  <c r="H804" i="6"/>
  <c r="H795" i="6"/>
  <c r="H755" i="6"/>
  <c r="H731" i="6"/>
  <c r="H719" i="6"/>
  <c r="H651" i="6"/>
  <c r="H630" i="6"/>
  <c r="H614" i="6"/>
  <c r="H610" i="6"/>
  <c r="H606" i="6"/>
  <c r="H602" i="6"/>
  <c r="H534" i="6"/>
  <c r="H465" i="6"/>
  <c r="H457" i="6"/>
  <c r="H430" i="6"/>
  <c r="H390" i="6"/>
  <c r="H376" i="6"/>
  <c r="H320" i="6"/>
  <c r="H309" i="6"/>
  <c r="H239" i="6"/>
  <c r="H236" i="6"/>
  <c r="H231" i="6"/>
  <c r="H220" i="6"/>
  <c r="H191" i="6"/>
  <c r="H913" i="6"/>
  <c r="H889" i="6"/>
  <c r="H881" i="6"/>
  <c r="H764" i="6"/>
  <c r="H709" i="6"/>
  <c r="H660" i="6"/>
  <c r="H611" i="6"/>
  <c r="H587" i="6"/>
  <c r="H470" i="6"/>
  <c r="H366" i="6"/>
  <c r="H326" i="6"/>
  <c r="H272" i="6"/>
  <c r="H256" i="6"/>
  <c r="H245" i="6"/>
  <c r="H175" i="6"/>
  <c r="H172" i="6"/>
  <c r="H167" i="6"/>
  <c r="H156" i="6"/>
  <c r="H123" i="6"/>
  <c r="H970" i="6"/>
  <c r="H930" i="6"/>
  <c r="H926" i="6"/>
  <c r="H902" i="6"/>
  <c r="H857" i="6"/>
  <c r="H853" i="6"/>
  <c r="H841" i="6"/>
  <c r="H833" i="6"/>
  <c r="H829" i="6"/>
  <c r="H817" i="6"/>
  <c r="H785" i="6"/>
  <c r="H761" i="6"/>
  <c r="H718" i="6"/>
  <c r="H694" i="6"/>
  <c r="H640" i="6"/>
  <c r="H629" i="6"/>
  <c r="H605" i="6"/>
  <c r="H559" i="6"/>
  <c r="H556" i="6"/>
  <c r="H551" i="6"/>
  <c r="H532" i="6"/>
  <c r="H483" i="6"/>
  <c r="H459" i="6"/>
  <c r="H438" i="6"/>
  <c r="H422" i="6"/>
  <c r="H418" i="6"/>
  <c r="H414" i="6"/>
  <c r="H410" i="6"/>
  <c r="H398" i="6"/>
  <c r="H342" i="6"/>
  <c r="H289" i="6"/>
  <c r="H273" i="6"/>
  <c r="H265" i="6"/>
  <c r="H198" i="6"/>
  <c r="H184" i="6"/>
  <c r="H144" i="6"/>
  <c r="H128" i="6"/>
  <c r="H914" i="6"/>
  <c r="H906" i="6"/>
  <c r="H866" i="6"/>
  <c r="H862" i="6"/>
  <c r="H838" i="6"/>
  <c r="H793" i="6"/>
  <c r="H789" i="6"/>
  <c r="H777" i="6"/>
  <c r="H769" i="6"/>
  <c r="H765" i="6"/>
  <c r="H753" i="6"/>
  <c r="H725" i="6"/>
  <c r="H678" i="6"/>
  <c r="H646" i="6"/>
  <c r="H632" i="6"/>
  <c r="H576" i="6"/>
  <c r="H565" i="6"/>
  <c r="H541" i="6"/>
  <c r="H495" i="6"/>
  <c r="H492" i="6"/>
  <c r="H487" i="6"/>
  <c r="H468" i="6"/>
  <c r="H419" i="6"/>
  <c r="H395" i="6"/>
  <c r="H374" i="6"/>
  <c r="H358" i="6"/>
  <c r="H354" i="6"/>
  <c r="H350" i="6"/>
  <c r="H346" i="6"/>
  <c r="H302" i="6"/>
  <c r="H278" i="6"/>
  <c r="H225" i="6"/>
  <c r="H209" i="6"/>
  <c r="H201" i="6"/>
  <c r="H134" i="6"/>
  <c r="H947" i="6"/>
  <c r="H931" i="6"/>
  <c r="H842" i="6"/>
  <c r="H807" i="6"/>
  <c r="H802" i="6"/>
  <c r="H798" i="6"/>
  <c r="H677" i="6"/>
  <c r="H657" i="6"/>
  <c r="H649" i="6"/>
  <c r="H568" i="6"/>
  <c r="H512" i="6"/>
  <c r="H431" i="6"/>
  <c r="H423" i="6"/>
  <c r="H310" i="6"/>
  <c r="H306" i="6"/>
  <c r="H294" i="6"/>
  <c r="H290" i="6"/>
  <c r="H286" i="6"/>
  <c r="H282" i="6"/>
  <c r="H161" i="6"/>
  <c r="H137" i="6"/>
  <c r="H996" i="6"/>
  <c r="H992" i="6"/>
  <c r="H979" i="6"/>
  <c r="H967" i="6"/>
  <c r="H962" i="6"/>
  <c r="H958" i="6"/>
  <c r="H949" i="6"/>
  <c r="H936" i="6"/>
  <c r="H924" i="6"/>
  <c r="H915" i="6"/>
  <c r="H903" i="6"/>
  <c r="H898" i="6"/>
  <c r="H894" i="6"/>
  <c r="H885" i="6"/>
  <c r="H872" i="6"/>
  <c r="H860" i="6"/>
  <c r="H851" i="6"/>
  <c r="H839" i="6"/>
  <c r="H834" i="6"/>
  <c r="H830" i="6"/>
  <c r="H821" i="6"/>
  <c r="H808" i="6"/>
  <c r="H796" i="6"/>
  <c r="H787" i="6"/>
  <c r="H775" i="6"/>
  <c r="H770" i="6"/>
  <c r="H766" i="6"/>
  <c r="H757" i="6"/>
  <c r="H741" i="6"/>
  <c r="H732" i="6"/>
  <c r="H716" i="6"/>
  <c r="H711" i="6"/>
  <c r="H654" i="6"/>
  <c r="H142" i="6"/>
  <c r="H988" i="6"/>
  <c r="H984" i="6"/>
  <c r="H980" i="6"/>
  <c r="H971" i="6"/>
  <c r="H959" i="6"/>
  <c r="H954" i="6"/>
  <c r="H950" i="6"/>
  <c r="H941" i="6"/>
  <c r="H928" i="6"/>
  <c r="H916" i="6"/>
  <c r="H907" i="6"/>
  <c r="H895" i="6"/>
  <c r="H890" i="6"/>
  <c r="H886" i="6"/>
  <c r="H877" i="6"/>
  <c r="H864" i="6"/>
  <c r="H852" i="6"/>
  <c r="H843" i="6"/>
  <c r="H831" i="6"/>
  <c r="H826" i="6"/>
  <c r="H822" i="6"/>
  <c r="H813" i="6"/>
  <c r="H800" i="6"/>
  <c r="H788" i="6"/>
  <c r="H779" i="6"/>
  <c r="H767" i="6"/>
  <c r="H762" i="6"/>
  <c r="H758" i="6"/>
  <c r="H749" i="6"/>
  <c r="H745" i="6"/>
  <c r="H728" i="6"/>
  <c r="H590" i="6"/>
  <c r="H997" i="6"/>
  <c r="H963" i="6"/>
  <c r="H951" i="6"/>
  <c r="H946" i="6"/>
  <c r="H933" i="6"/>
  <c r="H920" i="6"/>
  <c r="H899" i="6"/>
  <c r="H887" i="6"/>
  <c r="H882" i="6"/>
  <c r="H878" i="6"/>
  <c r="H869" i="6"/>
  <c r="H856" i="6"/>
  <c r="H844" i="6"/>
  <c r="H835" i="6"/>
  <c r="H823" i="6"/>
  <c r="H818" i="6"/>
  <c r="H814" i="6"/>
  <c r="H805" i="6"/>
  <c r="H792" i="6"/>
  <c r="H780" i="6"/>
  <c r="H771" i="6"/>
  <c r="H759" i="6"/>
  <c r="H754" i="6"/>
  <c r="H750" i="6"/>
  <c r="H526" i="6"/>
  <c r="H998" i="6"/>
  <c r="H989" i="6"/>
  <c r="H968" i="6"/>
  <c r="H964" i="6"/>
  <c r="H955" i="6"/>
  <c r="H943" i="6"/>
  <c r="H938" i="6"/>
  <c r="H934" i="6"/>
  <c r="H925" i="6"/>
  <c r="H912" i="6"/>
  <c r="H900" i="6"/>
  <c r="H891" i="6"/>
  <c r="H879" i="6"/>
  <c r="H874" i="6"/>
  <c r="H870" i="6"/>
  <c r="H861" i="6"/>
  <c r="H848" i="6"/>
  <c r="H836" i="6"/>
  <c r="H827" i="6"/>
  <c r="H815" i="6"/>
  <c r="H810" i="6"/>
  <c r="H806" i="6"/>
  <c r="H797" i="6"/>
  <c r="H784" i="6"/>
  <c r="H772" i="6"/>
  <c r="H763" i="6"/>
  <c r="H751" i="6"/>
  <c r="H742" i="6"/>
  <c r="H734" i="6"/>
  <c r="H462" i="6"/>
  <c r="H935" i="6"/>
  <c r="H999" i="6"/>
  <c r="H991" i="6"/>
  <c r="H986" i="6"/>
  <c r="H982" i="6"/>
  <c r="H973" i="6"/>
  <c r="H960" i="6"/>
  <c r="H948" i="6"/>
  <c r="H939" i="6"/>
  <c r="H927" i="6"/>
  <c r="H922" i="6"/>
  <c r="H918" i="6"/>
  <c r="H909" i="6"/>
  <c r="H896" i="6"/>
  <c r="H884" i="6"/>
  <c r="H875" i="6"/>
  <c r="H863" i="6"/>
  <c r="H858" i="6"/>
  <c r="H854" i="6"/>
  <c r="H845" i="6"/>
  <c r="H832" i="6"/>
  <c r="H820" i="6"/>
  <c r="H811" i="6"/>
  <c r="H799" i="6"/>
  <c r="H794" i="6"/>
  <c r="H790" i="6"/>
  <c r="H781" i="6"/>
  <c r="H768" i="6"/>
  <c r="H756" i="6"/>
  <c r="H747" i="6"/>
  <c r="H701" i="6"/>
  <c r="H697" i="6"/>
  <c r="H983" i="6"/>
  <c r="H974" i="6"/>
  <c r="H940" i="6"/>
  <c r="H919" i="6"/>
  <c r="H910" i="6"/>
  <c r="H888" i="6"/>
  <c r="H876" i="6"/>
  <c r="H867" i="6"/>
  <c r="H855" i="6"/>
  <c r="H850" i="6"/>
  <c r="H846" i="6"/>
  <c r="H837" i="6"/>
  <c r="H824" i="6"/>
  <c r="H812" i="6"/>
  <c r="H803" i="6"/>
  <c r="H791" i="6"/>
  <c r="H786" i="6"/>
  <c r="H782" i="6"/>
  <c r="H773" i="6"/>
  <c r="H760" i="6"/>
  <c r="H736" i="6"/>
  <c r="H735" i="6"/>
  <c r="H270" i="6"/>
  <c r="H746" i="6"/>
  <c r="H737" i="6"/>
  <c r="H733" i="6"/>
  <c r="H729" i="6"/>
  <c r="H720" i="6"/>
  <c r="H717" i="6"/>
  <c r="H689" i="6"/>
  <c r="H680" i="6"/>
  <c r="H676" i="6"/>
  <c r="H671" i="6"/>
  <c r="H667" i="6"/>
  <c r="H658" i="6"/>
  <c r="H641" i="6"/>
  <c r="H624" i="6"/>
  <c r="H621" i="6"/>
  <c r="H612" i="6"/>
  <c r="H607" i="6"/>
  <c r="H603" i="6"/>
  <c r="H594" i="6"/>
  <c r="H577" i="6"/>
  <c r="H560" i="6"/>
  <c r="H557" i="6"/>
  <c r="H548" i="6"/>
  <c r="H543" i="6"/>
  <c r="H539" i="6"/>
  <c r="H530" i="6"/>
  <c r="H513" i="6"/>
  <c r="H496" i="6"/>
  <c r="H493" i="6"/>
  <c r="H484" i="6"/>
  <c r="H479" i="6"/>
  <c r="H475" i="6"/>
  <c r="H466" i="6"/>
  <c r="H449" i="6"/>
  <c r="H432" i="6"/>
  <c r="H429" i="6"/>
  <c r="H420" i="6"/>
  <c r="H415" i="6"/>
  <c r="H411" i="6"/>
  <c r="H402" i="6"/>
  <c r="H385" i="6"/>
  <c r="H368" i="6"/>
  <c r="H365" i="6"/>
  <c r="H356" i="6"/>
  <c r="H351" i="6"/>
  <c r="H347" i="6"/>
  <c r="H338" i="6"/>
  <c r="H321" i="6"/>
  <c r="H304" i="6"/>
  <c r="H301" i="6"/>
  <c r="H292" i="6"/>
  <c r="H287" i="6"/>
  <c r="H283" i="6"/>
  <c r="H274" i="6"/>
  <c r="H257" i="6"/>
  <c r="H240" i="6"/>
  <c r="H237" i="6"/>
  <c r="H228" i="6"/>
  <c r="H223" i="6"/>
  <c r="H219" i="6"/>
  <c r="H210" i="6"/>
  <c r="H193" i="6"/>
  <c r="H176" i="6"/>
  <c r="H173" i="6"/>
  <c r="H164" i="6"/>
  <c r="H159" i="6"/>
  <c r="H155" i="6"/>
  <c r="H146" i="6"/>
  <c r="H129" i="6"/>
  <c r="H712" i="6"/>
  <c r="H708" i="6"/>
  <c r="H703" i="6"/>
  <c r="H698" i="6"/>
  <c r="H668" i="6"/>
  <c r="H663" i="6"/>
  <c r="H659" i="6"/>
  <c r="H650" i="6"/>
  <c r="H633" i="6"/>
  <c r="H616" i="6"/>
  <c r="H613" i="6"/>
  <c r="H604" i="6"/>
  <c r="H599" i="6"/>
  <c r="H595" i="6"/>
  <c r="H586" i="6"/>
  <c r="H569" i="6"/>
  <c r="H552" i="6"/>
  <c r="H549" i="6"/>
  <c r="H540" i="6"/>
  <c r="H535" i="6"/>
  <c r="H531" i="6"/>
  <c r="H522" i="6"/>
  <c r="H505" i="6"/>
  <c r="H488" i="6"/>
  <c r="H485" i="6"/>
  <c r="H476" i="6"/>
  <c r="H471" i="6"/>
  <c r="H467" i="6"/>
  <c r="H458" i="6"/>
  <c r="H441" i="6"/>
  <c r="H424" i="6"/>
  <c r="H421" i="6"/>
  <c r="H412" i="6"/>
  <c r="H407" i="6"/>
  <c r="H403" i="6"/>
  <c r="H394" i="6"/>
  <c r="H377" i="6"/>
  <c r="H360" i="6"/>
  <c r="H357" i="6"/>
  <c r="H348" i="6"/>
  <c r="H343" i="6"/>
  <c r="H339" i="6"/>
  <c r="H330" i="6"/>
  <c r="H313" i="6"/>
  <c r="H296" i="6"/>
  <c r="H293" i="6"/>
  <c r="H279" i="6"/>
  <c r="H275" i="6"/>
  <c r="H266" i="6"/>
  <c r="H249" i="6"/>
  <c r="H232" i="6"/>
  <c r="H229" i="6"/>
  <c r="H215" i="6"/>
  <c r="H211" i="6"/>
  <c r="H202" i="6"/>
  <c r="H185" i="6"/>
  <c r="H168" i="6"/>
  <c r="H165" i="6"/>
  <c r="H151" i="6"/>
  <c r="H147" i="6"/>
  <c r="H138" i="6"/>
  <c r="H121" i="6"/>
  <c r="H690" i="6"/>
  <c r="H681" i="6"/>
  <c r="H672" i="6"/>
  <c r="H655" i="6"/>
  <c r="H642" i="6"/>
  <c r="H625" i="6"/>
  <c r="H608" i="6"/>
  <c r="H591" i="6"/>
  <c r="H578" i="6"/>
  <c r="H561" i="6"/>
  <c r="H544" i="6"/>
  <c r="H527" i="6"/>
  <c r="H514" i="6"/>
  <c r="H497" i="6"/>
  <c r="H480" i="6"/>
  <c r="H463" i="6"/>
  <c r="H450" i="6"/>
  <c r="H433" i="6"/>
  <c r="H416" i="6"/>
  <c r="H399" i="6"/>
  <c r="H386" i="6"/>
  <c r="H369" i="6"/>
  <c r="H352" i="6"/>
  <c r="H335" i="6"/>
  <c r="H322" i="6"/>
  <c r="H305" i="6"/>
  <c r="H288" i="6"/>
  <c r="H285" i="6"/>
  <c r="H276" i="6"/>
  <c r="H271" i="6"/>
  <c r="H267" i="6"/>
  <c r="H258" i="6"/>
  <c r="H241" i="6"/>
  <c r="H224" i="6"/>
  <c r="H221" i="6"/>
  <c r="H212" i="6"/>
  <c r="H207" i="6"/>
  <c r="H203" i="6"/>
  <c r="H194" i="6"/>
  <c r="H177" i="6"/>
  <c r="H160" i="6"/>
  <c r="H157" i="6"/>
  <c r="H148" i="6"/>
  <c r="H143" i="6"/>
  <c r="H139" i="6"/>
  <c r="H130" i="6"/>
  <c r="H748" i="6"/>
  <c r="H704" i="6"/>
  <c r="H700" i="6"/>
  <c r="H695" i="6"/>
  <c r="H664" i="6"/>
  <c r="H661" i="6"/>
  <c r="H652" i="6"/>
  <c r="H647" i="6"/>
  <c r="H643" i="6"/>
  <c r="H634" i="6"/>
  <c r="H617" i="6"/>
  <c r="H600" i="6"/>
  <c r="H597" i="6"/>
  <c r="H588" i="6"/>
  <c r="H583" i="6"/>
  <c r="H579" i="6"/>
  <c r="H570" i="6"/>
  <c r="H553" i="6"/>
  <c r="H536" i="6"/>
  <c r="H533" i="6"/>
  <c r="H524" i="6"/>
  <c r="H519" i="6"/>
  <c r="H515" i="6"/>
  <c r="H506" i="6"/>
  <c r="H489" i="6"/>
  <c r="H472" i="6"/>
  <c r="H469" i="6"/>
  <c r="H460" i="6"/>
  <c r="H455" i="6"/>
  <c r="H451" i="6"/>
  <c r="H442" i="6"/>
  <c r="H425" i="6"/>
  <c r="H408" i="6"/>
  <c r="H405" i="6"/>
  <c r="H396" i="6"/>
  <c r="H391" i="6"/>
  <c r="H387" i="6"/>
  <c r="H378" i="6"/>
  <c r="H361" i="6"/>
  <c r="H344" i="6"/>
  <c r="H341" i="6"/>
  <c r="H332" i="6"/>
  <c r="H327" i="6"/>
  <c r="H323" i="6"/>
  <c r="H314" i="6"/>
  <c r="H297" i="6"/>
  <c r="H280" i="6"/>
  <c r="H277" i="6"/>
  <c r="H268" i="6"/>
  <c r="H263" i="6"/>
  <c r="H259" i="6"/>
  <c r="H250" i="6"/>
  <c r="H233" i="6"/>
  <c r="H216" i="6"/>
  <c r="H213" i="6"/>
  <c r="H204" i="6"/>
  <c r="H199" i="6"/>
  <c r="H195" i="6"/>
  <c r="H186" i="6"/>
  <c r="H169" i="6"/>
  <c r="H152" i="6"/>
  <c r="H149" i="6"/>
  <c r="H140" i="6"/>
  <c r="H135" i="6"/>
  <c r="H131" i="6"/>
  <c r="H122" i="6"/>
  <c r="H723" i="6"/>
  <c r="H722" i="6"/>
  <c r="H692" i="6"/>
  <c r="H687" i="6"/>
  <c r="H682" i="6"/>
  <c r="H673" i="6"/>
  <c r="H656" i="6"/>
  <c r="H653" i="6"/>
  <c r="H644" i="6"/>
  <c r="H639" i="6"/>
  <c r="H635" i="6"/>
  <c r="H626" i="6"/>
  <c r="H609" i="6"/>
  <c r="H592" i="6"/>
  <c r="H589" i="6"/>
  <c r="H580" i="6"/>
  <c r="H575" i="6"/>
  <c r="H571" i="6"/>
  <c r="H562" i="6"/>
  <c r="H545" i="6"/>
  <c r="H528" i="6"/>
  <c r="H525" i="6"/>
  <c r="H516" i="6"/>
  <c r="H511" i="6"/>
  <c r="H507" i="6"/>
  <c r="H498" i="6"/>
  <c r="H481" i="6"/>
  <c r="H464" i="6"/>
  <c r="H461" i="6"/>
  <c r="H452" i="6"/>
  <c r="H447" i="6"/>
  <c r="H443" i="6"/>
  <c r="H434" i="6"/>
  <c r="H417" i="6"/>
  <c r="H400" i="6"/>
  <c r="H397" i="6"/>
  <c r="H388" i="6"/>
  <c r="H383" i="6"/>
  <c r="H379" i="6"/>
  <c r="H370" i="6"/>
  <c r="H353" i="6"/>
  <c r="H336" i="6"/>
  <c r="H333" i="6"/>
  <c r="H324" i="6"/>
  <c r="H269" i="6"/>
  <c r="H260" i="6"/>
  <c r="H205" i="6"/>
  <c r="H196" i="6"/>
  <c r="H141" i="6"/>
  <c r="H132" i="6"/>
  <c r="H127" i="6"/>
  <c r="H727" i="6"/>
  <c r="H724" i="6"/>
  <c r="H714" i="6"/>
  <c r="H705" i="6"/>
  <c r="H696" i="6"/>
  <c r="H693" i="6"/>
  <c r="H683" i="6"/>
  <c r="H665" i="6"/>
  <c r="H648" i="6"/>
  <c r="H645" i="6"/>
  <c r="H636" i="6"/>
  <c r="H631" i="6"/>
  <c r="H627" i="6"/>
  <c r="H618" i="6"/>
  <c r="H601" i="6"/>
  <c r="H584" i="6"/>
  <c r="H581" i="6"/>
  <c r="H572" i="6"/>
  <c r="H567" i="6"/>
  <c r="H563" i="6"/>
  <c r="H554" i="6"/>
  <c r="H537" i="6"/>
  <c r="H520" i="6"/>
  <c r="H517" i="6"/>
  <c r="H508" i="6"/>
  <c r="H503" i="6"/>
  <c r="H499" i="6"/>
  <c r="H490" i="6"/>
  <c r="H473" i="6"/>
  <c r="H456" i="6"/>
  <c r="H453" i="6"/>
  <c r="H444" i="6"/>
  <c r="H439" i="6"/>
  <c r="H435" i="6"/>
  <c r="H426" i="6"/>
  <c r="H409" i="6"/>
  <c r="H392" i="6"/>
  <c r="H389" i="6"/>
  <c r="H380" i="6"/>
  <c r="H375" i="6"/>
  <c r="H371" i="6"/>
  <c r="H362" i="6"/>
  <c r="H345" i="6"/>
  <c r="H328" i="6"/>
  <c r="H325" i="6"/>
  <c r="H316" i="6"/>
  <c r="H311" i="6"/>
  <c r="H307" i="6"/>
  <c r="H298" i="6"/>
  <c r="H281" i="6"/>
  <c r="H264" i="6"/>
  <c r="H261" i="6"/>
  <c r="H252" i="6"/>
  <c r="H247" i="6"/>
  <c r="H243" i="6"/>
  <c r="H234" i="6"/>
  <c r="H217" i="6"/>
  <c r="H200" i="6"/>
  <c r="H197" i="6"/>
  <c r="H188" i="6"/>
  <c r="H183" i="6"/>
  <c r="H179" i="6"/>
  <c r="H170" i="6"/>
  <c r="H153" i="6"/>
  <c r="H136" i="6"/>
  <c r="H133" i="6"/>
  <c r="H124" i="6"/>
  <c r="H684" i="6"/>
  <c r="H637" i="6"/>
  <c r="H628" i="6"/>
  <c r="H619" i="6"/>
  <c r="H573" i="6"/>
  <c r="H564" i="6"/>
  <c r="H555" i="6"/>
  <c r="H509" i="6"/>
  <c r="H500" i="6"/>
  <c r="H491" i="6"/>
  <c r="H445" i="6"/>
  <c r="H436" i="6"/>
  <c r="H427" i="6"/>
  <c r="H381" i="6"/>
  <c r="H372" i="6"/>
  <c r="H363" i="6"/>
  <c r="H317" i="6"/>
  <c r="H308" i="6"/>
  <c r="H299" i="6"/>
  <c r="H253" i="6"/>
  <c r="H244" i="6"/>
  <c r="H235" i="6"/>
  <c r="H189" i="6"/>
  <c r="H180" i="6"/>
  <c r="H171" i="6"/>
  <c r="H145" i="6"/>
  <c r="H125" i="6"/>
  <c r="H743" i="6"/>
  <c r="H699" i="6"/>
  <c r="H730" i="6"/>
  <c r="H713" i="6"/>
  <c r="H691" i="6"/>
  <c r="H721" i="6"/>
  <c r="H674" i="6"/>
  <c r="H707" i="6"/>
  <c r="H675" i="6"/>
  <c r="A10" i="2" l="1"/>
  <c r="A11" i="2" l="1"/>
  <c r="B13" i="6" s="1"/>
  <c r="H23" i="13"/>
  <c r="F9" i="6"/>
  <c r="D9" i="6"/>
  <c r="A1" i="2"/>
  <c r="AY10" i="2"/>
  <c r="AY11" i="2"/>
  <c r="AY12" i="2"/>
  <c r="AY13" i="2"/>
  <c r="AY14" i="2"/>
  <c r="AY15" i="2"/>
  <c r="AY16" i="2"/>
  <c r="AY17" i="2"/>
  <c r="AY18" i="2"/>
  <c r="AY19" i="2"/>
  <c r="AY20" i="2"/>
  <c r="AY21" i="2"/>
  <c r="AY22" i="2"/>
  <c r="AY23" i="2"/>
  <c r="AY24" i="2"/>
  <c r="AY25" i="2"/>
  <c r="AY26" i="2"/>
  <c r="AY27" i="2"/>
  <c r="AY28" i="2"/>
  <c r="AY29" i="2"/>
  <c r="AY30" i="2"/>
  <c r="AY31" i="2"/>
  <c r="AY32" i="2"/>
  <c r="AY33" i="2"/>
  <c r="AY34" i="2"/>
  <c r="AY35" i="2"/>
  <c r="AY36" i="2"/>
  <c r="AY37" i="2"/>
  <c r="AY38" i="2"/>
  <c r="AY39" i="2"/>
  <c r="AY40" i="2"/>
  <c r="AY41" i="2"/>
  <c r="AY42" i="2"/>
  <c r="AY43" i="2"/>
  <c r="AY44" i="2"/>
  <c r="AY45" i="2"/>
  <c r="AY46" i="2"/>
  <c r="AY47" i="2"/>
  <c r="AY48" i="2"/>
  <c r="AY49" i="2"/>
  <c r="AY50" i="2"/>
  <c r="AR10" i="2"/>
  <c r="AR11" i="2"/>
  <c r="AR12" i="2"/>
  <c r="AR13" i="2"/>
  <c r="AR14" i="2"/>
  <c r="AR15" i="2"/>
  <c r="AR16" i="2"/>
  <c r="AR17" i="2"/>
  <c r="AR18" i="2"/>
  <c r="AR19" i="2"/>
  <c r="AR20" i="2"/>
  <c r="AR21" i="2"/>
  <c r="AR22" i="2"/>
  <c r="AR23" i="2"/>
  <c r="AR24" i="2"/>
  <c r="AR25" i="2"/>
  <c r="AR26" i="2"/>
  <c r="AR27" i="2"/>
  <c r="AR28" i="2"/>
  <c r="AR29" i="2"/>
  <c r="AR30" i="2"/>
  <c r="AR31" i="2"/>
  <c r="AR32" i="2"/>
  <c r="AR33" i="2"/>
  <c r="AR34" i="2"/>
  <c r="AR35" i="2"/>
  <c r="AR36" i="2"/>
  <c r="AR37" i="2"/>
  <c r="AR38" i="2"/>
  <c r="AR39" i="2"/>
  <c r="AR40" i="2"/>
  <c r="AR41" i="2"/>
  <c r="AR42" i="2"/>
  <c r="AR43" i="2"/>
  <c r="AR44" i="2"/>
  <c r="AR45" i="2"/>
  <c r="AR46" i="2"/>
  <c r="AR47" i="2"/>
  <c r="AR48" i="2"/>
  <c r="AR49" i="2"/>
  <c r="AR50" i="2"/>
  <c r="AK10" i="2"/>
  <c r="AK11" i="2"/>
  <c r="AK12" i="2"/>
  <c r="AK13" i="2"/>
  <c r="AK14" i="2"/>
  <c r="AK15" i="2"/>
  <c r="AK16" i="2"/>
  <c r="AK17" i="2"/>
  <c r="AK18" i="2"/>
  <c r="AK19" i="2"/>
  <c r="AK20" i="2"/>
  <c r="AK21" i="2"/>
  <c r="AK22" i="2"/>
  <c r="AK23" i="2"/>
  <c r="AK24" i="2"/>
  <c r="AK25" i="2"/>
  <c r="AK26" i="2"/>
  <c r="AK27" i="2"/>
  <c r="AK28" i="2"/>
  <c r="AK29" i="2"/>
  <c r="AK30" i="2"/>
  <c r="AK31" i="2"/>
  <c r="AK32" i="2"/>
  <c r="AK33" i="2"/>
  <c r="AK34" i="2"/>
  <c r="AK35" i="2"/>
  <c r="AK36" i="2"/>
  <c r="AK37" i="2"/>
  <c r="AK38" i="2"/>
  <c r="AK39" i="2"/>
  <c r="AK40" i="2"/>
  <c r="AK41" i="2"/>
  <c r="AK42" i="2"/>
  <c r="AK43" i="2"/>
  <c r="AK44" i="2"/>
  <c r="AK45" i="2"/>
  <c r="AK46" i="2"/>
  <c r="AK47" i="2"/>
  <c r="AK48" i="2"/>
  <c r="AK49" i="2"/>
  <c r="AK50" i="2"/>
  <c r="D116" i="6"/>
  <c r="D117" i="6"/>
  <c r="AW8" i="2"/>
  <c r="AU8" i="2"/>
  <c r="AS8" i="2"/>
  <c r="AR9" i="2"/>
  <c r="AL8" i="2"/>
  <c r="H29" i="13"/>
  <c r="AP8" i="2"/>
  <c r="AN8" i="2"/>
  <c r="AP7" i="2"/>
  <c r="AN7" i="2"/>
  <c r="AL7" i="2"/>
  <c r="E32" i="13"/>
  <c r="G32" i="13"/>
  <c r="F32" i="13"/>
  <c r="H30" i="13"/>
  <c r="H31" i="13"/>
  <c r="D8" i="2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11" i="6"/>
  <c r="D111" i="6" l="1"/>
  <c r="AO10" i="2"/>
  <c r="D115" i="6"/>
  <c r="D112" i="6"/>
  <c r="E113" i="6"/>
  <c r="G114" i="6"/>
  <c r="E112" i="6"/>
  <c r="G113" i="6"/>
  <c r="E111" i="6"/>
  <c r="H111" i="6" s="1"/>
  <c r="G112" i="6"/>
  <c r="G111" i="6"/>
  <c r="D120" i="6"/>
  <c r="H120" i="6" s="1"/>
  <c r="E120" i="6"/>
  <c r="D119" i="6"/>
  <c r="D118" i="6"/>
  <c r="E119" i="6"/>
  <c r="G120" i="6"/>
  <c r="E118" i="6"/>
  <c r="G119" i="6"/>
  <c r="E117" i="6"/>
  <c r="G118" i="6"/>
  <c r="E116" i="6"/>
  <c r="G117" i="6"/>
  <c r="D114" i="6"/>
  <c r="E115" i="6"/>
  <c r="G116" i="6"/>
  <c r="D113" i="6"/>
  <c r="E114" i="6"/>
  <c r="G115" i="6"/>
  <c r="A12" i="2"/>
  <c r="F120" i="6"/>
  <c r="F116" i="6"/>
  <c r="F112" i="6"/>
  <c r="F108" i="6"/>
  <c r="F104" i="6"/>
  <c r="F100" i="6"/>
  <c r="F96" i="6"/>
  <c r="F92" i="6"/>
  <c r="F88" i="6"/>
  <c r="F84" i="6"/>
  <c r="F80" i="6"/>
  <c r="F76" i="6"/>
  <c r="F72" i="6"/>
  <c r="F68" i="6"/>
  <c r="F64" i="6"/>
  <c r="F60" i="6"/>
  <c r="F56" i="6"/>
  <c r="AZ50" i="2"/>
  <c r="F52" i="6" s="1"/>
  <c r="AZ46" i="2"/>
  <c r="F48" i="6" s="1"/>
  <c r="AZ42" i="2"/>
  <c r="F44" i="6" s="1"/>
  <c r="AZ38" i="2"/>
  <c r="F40" i="6" s="1"/>
  <c r="AZ34" i="2"/>
  <c r="F36" i="6" s="1"/>
  <c r="AZ30" i="2"/>
  <c r="F32" i="6" s="1"/>
  <c r="AZ26" i="2"/>
  <c r="F28" i="6" s="1"/>
  <c r="AZ22" i="2"/>
  <c r="F24" i="6" s="1"/>
  <c r="AZ18" i="2"/>
  <c r="F20" i="6" s="1"/>
  <c r="AZ14" i="2"/>
  <c r="F16" i="6" s="1"/>
  <c r="AZ11" i="2"/>
  <c r="F13" i="6" s="1"/>
  <c r="F117" i="6"/>
  <c r="F113" i="6"/>
  <c r="F109" i="6"/>
  <c r="F105" i="6"/>
  <c r="F118" i="6"/>
  <c r="F114" i="6"/>
  <c r="F110" i="6"/>
  <c r="F106" i="6"/>
  <c r="F102" i="6"/>
  <c r="F98" i="6"/>
  <c r="F94" i="6"/>
  <c r="F90" i="6"/>
  <c r="F86" i="6"/>
  <c r="F82" i="6"/>
  <c r="F78" i="6"/>
  <c r="F74" i="6"/>
  <c r="F70" i="6"/>
  <c r="F66" i="6"/>
  <c r="F62" i="6"/>
  <c r="F58" i="6"/>
  <c r="F54" i="6"/>
  <c r="AZ48" i="2"/>
  <c r="F50" i="6" s="1"/>
  <c r="AZ44" i="2"/>
  <c r="F46" i="6" s="1"/>
  <c r="AZ40" i="2"/>
  <c r="F42" i="6" s="1"/>
  <c r="AZ36" i="2"/>
  <c r="F38" i="6" s="1"/>
  <c r="AZ32" i="2"/>
  <c r="F34" i="6" s="1"/>
  <c r="AZ28" i="2"/>
  <c r="F30" i="6" s="1"/>
  <c r="AZ24" i="2"/>
  <c r="F26" i="6" s="1"/>
  <c r="AZ20" i="2"/>
  <c r="F22" i="6" s="1"/>
  <c r="AZ16" i="2"/>
  <c r="F18" i="6" s="1"/>
  <c r="F119" i="6"/>
  <c r="H119" i="6" s="1"/>
  <c r="F115" i="6"/>
  <c r="F111" i="6"/>
  <c r="F107" i="6"/>
  <c r="F103" i="6"/>
  <c r="F95" i="6"/>
  <c r="F67" i="6"/>
  <c r="F101" i="6"/>
  <c r="F99" i="6"/>
  <c r="F97" i="6"/>
  <c r="F93" i="6"/>
  <c r="F91" i="6"/>
  <c r="F89" i="6"/>
  <c r="F87" i="6"/>
  <c r="F85" i="6"/>
  <c r="F83" i="6"/>
  <c r="F81" i="6"/>
  <c r="F79" i="6"/>
  <c r="F77" i="6"/>
  <c r="F75" i="6"/>
  <c r="F73" i="6"/>
  <c r="F71" i="6"/>
  <c r="F69" i="6"/>
  <c r="F65" i="6"/>
  <c r="F63" i="6"/>
  <c r="F61" i="6"/>
  <c r="F59" i="6"/>
  <c r="F57" i="6"/>
  <c r="F55" i="6"/>
  <c r="F53" i="6"/>
  <c r="AZ49" i="2"/>
  <c r="F51" i="6" s="1"/>
  <c r="AZ47" i="2"/>
  <c r="F49" i="6" s="1"/>
  <c r="AZ45" i="2"/>
  <c r="F47" i="6" s="1"/>
  <c r="AZ43" i="2"/>
  <c r="F45" i="6" s="1"/>
  <c r="AZ41" i="2"/>
  <c r="F43" i="6" s="1"/>
  <c r="AZ39" i="2"/>
  <c r="F41" i="6" s="1"/>
  <c r="AZ37" i="2"/>
  <c r="F39" i="6" s="1"/>
  <c r="AZ35" i="2"/>
  <c r="F37" i="6" s="1"/>
  <c r="AZ33" i="2"/>
  <c r="F35" i="6" s="1"/>
  <c r="AZ31" i="2"/>
  <c r="F33" i="6" s="1"/>
  <c r="AZ29" i="2"/>
  <c r="F31" i="6" s="1"/>
  <c r="AZ27" i="2"/>
  <c r="F29" i="6" s="1"/>
  <c r="AZ25" i="2"/>
  <c r="F27" i="6" s="1"/>
  <c r="AZ23" i="2"/>
  <c r="F25" i="6" s="1"/>
  <c r="AZ21" i="2"/>
  <c r="F23" i="6" s="1"/>
  <c r="AZ19" i="2"/>
  <c r="F21" i="6" s="1"/>
  <c r="AZ17" i="2"/>
  <c r="F19" i="6" s="1"/>
  <c r="AZ15" i="2"/>
  <c r="F17" i="6" s="1"/>
  <c r="AZ13" i="2"/>
  <c r="F15" i="6" s="1"/>
  <c r="AO46" i="2"/>
  <c r="AO38" i="2"/>
  <c r="AO30" i="2"/>
  <c r="AO22" i="2"/>
  <c r="AO14" i="2"/>
  <c r="AO50" i="2"/>
  <c r="AO42" i="2"/>
  <c r="AO34" i="2"/>
  <c r="AO26" i="2"/>
  <c r="AO18" i="2"/>
  <c r="AQ11" i="2"/>
  <c r="AQ13" i="2"/>
  <c r="AQ15" i="2"/>
  <c r="AQ17" i="2"/>
  <c r="AQ19" i="2"/>
  <c r="AQ21" i="2"/>
  <c r="AQ23" i="2"/>
  <c r="AQ25" i="2"/>
  <c r="AQ27" i="2"/>
  <c r="AQ29" i="2"/>
  <c r="AQ31" i="2"/>
  <c r="AQ33" i="2"/>
  <c r="AQ35" i="2"/>
  <c r="AQ37" i="2"/>
  <c r="AQ39" i="2"/>
  <c r="AQ41" i="2"/>
  <c r="AQ43" i="2"/>
  <c r="AQ45" i="2"/>
  <c r="AQ47" i="2"/>
  <c r="AQ49" i="2"/>
  <c r="AQ9" i="2"/>
  <c r="AQ10" i="2"/>
  <c r="AQ14" i="2"/>
  <c r="AQ18" i="2"/>
  <c r="AQ22" i="2"/>
  <c r="AQ26" i="2"/>
  <c r="AQ30" i="2"/>
  <c r="AQ34" i="2"/>
  <c r="AQ38" i="2"/>
  <c r="AQ42" i="2"/>
  <c r="AQ46" i="2"/>
  <c r="AQ50" i="2"/>
  <c r="AQ12" i="2"/>
  <c r="AQ16" i="2"/>
  <c r="AQ20" i="2"/>
  <c r="AQ24" i="2"/>
  <c r="AQ28" i="2"/>
  <c r="AQ32" i="2"/>
  <c r="AQ36" i="2"/>
  <c r="AQ40" i="2"/>
  <c r="AQ44" i="2"/>
  <c r="AQ48" i="2"/>
  <c r="AO11" i="2"/>
  <c r="AO13" i="2"/>
  <c r="AO15" i="2"/>
  <c r="AO17" i="2"/>
  <c r="AO19" i="2"/>
  <c r="AO21" i="2"/>
  <c r="AO23" i="2"/>
  <c r="AO25" i="2"/>
  <c r="AO27" i="2"/>
  <c r="AO29" i="2"/>
  <c r="AO31" i="2"/>
  <c r="AO33" i="2"/>
  <c r="AO35" i="2"/>
  <c r="AO37" i="2"/>
  <c r="AO39" i="2"/>
  <c r="AO41" i="2"/>
  <c r="AO43" i="2"/>
  <c r="AO45" i="2"/>
  <c r="AO47" i="2"/>
  <c r="AO49" i="2"/>
  <c r="AO9" i="2"/>
  <c r="AO48" i="2"/>
  <c r="AO44" i="2"/>
  <c r="AO40" i="2"/>
  <c r="AO36" i="2"/>
  <c r="AO32" i="2"/>
  <c r="AO28" i="2"/>
  <c r="AO24" i="2"/>
  <c r="AO20" i="2"/>
  <c r="AO16" i="2"/>
  <c r="AO12" i="2"/>
  <c r="AY8" i="2"/>
  <c r="AM49" i="2"/>
  <c r="AM41" i="2"/>
  <c r="AM33" i="2"/>
  <c r="AM25" i="2"/>
  <c r="AM17" i="2"/>
  <c r="AM45" i="2"/>
  <c r="AM37" i="2"/>
  <c r="AM29" i="2"/>
  <c r="AM21" i="2"/>
  <c r="AM13" i="2"/>
  <c r="AZ12" i="2"/>
  <c r="F14" i="6" s="1"/>
  <c r="AZ10" i="2"/>
  <c r="F12" i="6" s="1"/>
  <c r="AM10" i="2"/>
  <c r="AM12" i="2"/>
  <c r="AM14" i="2"/>
  <c r="AM16" i="2"/>
  <c r="AM18" i="2"/>
  <c r="AM20" i="2"/>
  <c r="AM22" i="2"/>
  <c r="AM24" i="2"/>
  <c r="AM26" i="2"/>
  <c r="AM28" i="2"/>
  <c r="AM30" i="2"/>
  <c r="AM32" i="2"/>
  <c r="AM34" i="2"/>
  <c r="AM36" i="2"/>
  <c r="AM38" i="2"/>
  <c r="AM40" i="2"/>
  <c r="AM42" i="2"/>
  <c r="AM44" i="2"/>
  <c r="AM46" i="2"/>
  <c r="AM48" i="2"/>
  <c r="AM50" i="2"/>
  <c r="AM47" i="2"/>
  <c r="AM43" i="2"/>
  <c r="AM39" i="2"/>
  <c r="AM35" i="2"/>
  <c r="AM31" i="2"/>
  <c r="AM27" i="2"/>
  <c r="AM23" i="2"/>
  <c r="AM19" i="2"/>
  <c r="AM15" i="2"/>
  <c r="AM11" i="2"/>
  <c r="AR8" i="2"/>
  <c r="AM9" i="2"/>
  <c r="F33" i="13"/>
  <c r="D61" i="6"/>
  <c r="D62" i="6"/>
  <c r="D63" i="6"/>
  <c r="D64" i="6"/>
  <c r="D65" i="6"/>
  <c r="D66" i="6"/>
  <c r="D67" i="6"/>
  <c r="D68" i="6"/>
  <c r="D69" i="6"/>
  <c r="D70" i="6"/>
  <c r="D71" i="6"/>
  <c r="D72" i="6"/>
  <c r="D73" i="6"/>
  <c r="D74" i="6"/>
  <c r="D75" i="6"/>
  <c r="D76" i="6"/>
  <c r="D77" i="6"/>
  <c r="D78" i="6"/>
  <c r="D79" i="6"/>
  <c r="D80" i="6"/>
  <c r="D81" i="6"/>
  <c r="D82" i="6"/>
  <c r="D83" i="6"/>
  <c r="D84" i="6"/>
  <c r="D85" i="6"/>
  <c r="D86" i="6"/>
  <c r="D87" i="6"/>
  <c r="D88" i="6"/>
  <c r="D89" i="6"/>
  <c r="D90" i="6"/>
  <c r="D91" i="6"/>
  <c r="D92" i="6"/>
  <c r="D93" i="6"/>
  <c r="D94" i="6"/>
  <c r="D95" i="6"/>
  <c r="D96" i="6"/>
  <c r="D97" i="6"/>
  <c r="D98" i="6"/>
  <c r="D99" i="6"/>
  <c r="D100" i="6"/>
  <c r="D101" i="6"/>
  <c r="D102" i="6"/>
  <c r="D103" i="6"/>
  <c r="D104" i="6"/>
  <c r="D105" i="6"/>
  <c r="D106" i="6"/>
  <c r="D107" i="6"/>
  <c r="D108" i="6"/>
  <c r="D109" i="6"/>
  <c r="D110" i="6"/>
  <c r="H113" i="6" l="1"/>
  <c r="H115" i="6"/>
  <c r="H117" i="6"/>
  <c r="H118" i="6"/>
  <c r="H116" i="6"/>
  <c r="H112" i="6"/>
  <c r="H114" i="6"/>
  <c r="A13" i="2"/>
  <c r="A14" i="2" s="1"/>
  <c r="A15" i="2" s="1"/>
  <c r="A16" i="2" s="1"/>
  <c r="A17" i="2" s="1"/>
  <c r="A18" i="2" s="1"/>
  <c r="A19" i="2" s="1"/>
  <c r="B14" i="6"/>
  <c r="F10" i="6"/>
  <c r="G61" i="6"/>
  <c r="G62" i="6"/>
  <c r="G63" i="6"/>
  <c r="G64" i="6"/>
  <c r="G65" i="6"/>
  <c r="G66" i="6"/>
  <c r="G67" i="6"/>
  <c r="G68" i="6"/>
  <c r="G69" i="6"/>
  <c r="G70" i="6"/>
  <c r="H70" i="6" s="1"/>
  <c r="G71" i="6"/>
  <c r="G72" i="6"/>
  <c r="G73" i="6"/>
  <c r="G74" i="6"/>
  <c r="G75" i="6"/>
  <c r="G76" i="6"/>
  <c r="G77" i="6"/>
  <c r="G78" i="6"/>
  <c r="G79" i="6"/>
  <c r="G80" i="6"/>
  <c r="G81" i="6"/>
  <c r="G82" i="6"/>
  <c r="G83" i="6"/>
  <c r="G84" i="6"/>
  <c r="G85" i="6"/>
  <c r="G86" i="6"/>
  <c r="G87" i="6"/>
  <c r="G88" i="6"/>
  <c r="G89" i="6"/>
  <c r="G90" i="6"/>
  <c r="G91" i="6"/>
  <c r="G92" i="6"/>
  <c r="G93" i="6"/>
  <c r="G94" i="6"/>
  <c r="G95" i="6"/>
  <c r="G96" i="6"/>
  <c r="G97" i="6"/>
  <c r="G98" i="6"/>
  <c r="G99" i="6"/>
  <c r="G100" i="6"/>
  <c r="G101" i="6"/>
  <c r="G102" i="6"/>
  <c r="G103" i="6"/>
  <c r="G104" i="6"/>
  <c r="G105" i="6"/>
  <c r="G106" i="6"/>
  <c r="G107" i="6"/>
  <c r="G108" i="6"/>
  <c r="G109" i="6"/>
  <c r="G110" i="6"/>
  <c r="E61" i="6"/>
  <c r="H61" i="6" s="1"/>
  <c r="E62" i="6"/>
  <c r="E63" i="6"/>
  <c r="H63" i="6" s="1"/>
  <c r="E64" i="6"/>
  <c r="H64" i="6" s="1"/>
  <c r="E65" i="6"/>
  <c r="E66" i="6"/>
  <c r="E67" i="6"/>
  <c r="E68" i="6"/>
  <c r="E69" i="6"/>
  <c r="E70" i="6"/>
  <c r="E71" i="6"/>
  <c r="E72" i="6"/>
  <c r="E73" i="6"/>
  <c r="H73" i="6" s="1"/>
  <c r="E74" i="6"/>
  <c r="E75" i="6"/>
  <c r="H75" i="6" s="1"/>
  <c r="E76" i="6"/>
  <c r="E77" i="6"/>
  <c r="E78" i="6"/>
  <c r="E79" i="6"/>
  <c r="E80" i="6"/>
  <c r="E81" i="6"/>
  <c r="E82" i="6"/>
  <c r="E83" i="6"/>
  <c r="E84" i="6"/>
  <c r="E85" i="6"/>
  <c r="H85" i="6" s="1"/>
  <c r="E86" i="6"/>
  <c r="E87" i="6"/>
  <c r="H87" i="6" s="1"/>
  <c r="E88" i="6"/>
  <c r="E89" i="6"/>
  <c r="E90" i="6"/>
  <c r="E91" i="6"/>
  <c r="E92" i="6"/>
  <c r="E93" i="6"/>
  <c r="E94" i="6"/>
  <c r="E95" i="6"/>
  <c r="E96" i="6"/>
  <c r="E97" i="6"/>
  <c r="H97" i="6" s="1"/>
  <c r="E98" i="6"/>
  <c r="H98" i="6" s="1"/>
  <c r="E99" i="6"/>
  <c r="H99" i="6" s="1"/>
  <c r="E100" i="6"/>
  <c r="E101" i="6"/>
  <c r="E102" i="6"/>
  <c r="E103" i="6"/>
  <c r="E104" i="6"/>
  <c r="E105" i="6"/>
  <c r="E106" i="6"/>
  <c r="E107" i="6"/>
  <c r="H107" i="6" s="1"/>
  <c r="E108" i="6"/>
  <c r="E109" i="6"/>
  <c r="H109" i="6" s="1"/>
  <c r="E110" i="6"/>
  <c r="AW7" i="2"/>
  <c r="AU7" i="2"/>
  <c r="AS7" i="2"/>
  <c r="AI7" i="2"/>
  <c r="AG7" i="2"/>
  <c r="AE7" i="2"/>
  <c r="AB7" i="2"/>
  <c r="Z7" i="2"/>
  <c r="X7" i="2"/>
  <c r="V7" i="2"/>
  <c r="S7" i="2"/>
  <c r="Q7" i="2"/>
  <c r="O7" i="2"/>
  <c r="M7" i="2"/>
  <c r="J7" i="2"/>
  <c r="H7" i="2"/>
  <c r="F7" i="2"/>
  <c r="D7" i="2"/>
  <c r="F6" i="6"/>
  <c r="F5" i="6"/>
  <c r="B7" i="6"/>
  <c r="B6" i="6"/>
  <c r="B5" i="6"/>
  <c r="D4" i="6"/>
  <c r="A3" i="6"/>
  <c r="AF2" i="2"/>
  <c r="Z2" i="2"/>
  <c r="S2" i="2"/>
  <c r="C2" i="2"/>
  <c r="E2" i="2"/>
  <c r="AY9" i="2"/>
  <c r="AK9" i="2"/>
  <c r="AD10" i="2"/>
  <c r="D12" i="6" s="1"/>
  <c r="AD11" i="2"/>
  <c r="D13" i="6" s="1"/>
  <c r="AD12" i="2"/>
  <c r="D14" i="6" s="1"/>
  <c r="AD13" i="2"/>
  <c r="D15" i="6" s="1"/>
  <c r="AD14" i="2"/>
  <c r="D16" i="6" s="1"/>
  <c r="AD15" i="2"/>
  <c r="D17" i="6" s="1"/>
  <c r="AD16" i="2"/>
  <c r="D18" i="6" s="1"/>
  <c r="AD17" i="2"/>
  <c r="D19" i="6" s="1"/>
  <c r="AD18" i="2"/>
  <c r="D20" i="6" s="1"/>
  <c r="AD19" i="2"/>
  <c r="D21" i="6" s="1"/>
  <c r="AD20" i="2"/>
  <c r="D22" i="6" s="1"/>
  <c r="AD21" i="2"/>
  <c r="D23" i="6" s="1"/>
  <c r="AD22" i="2"/>
  <c r="D24" i="6" s="1"/>
  <c r="AD23" i="2"/>
  <c r="D25" i="6" s="1"/>
  <c r="AD24" i="2"/>
  <c r="D26" i="6" s="1"/>
  <c r="AD25" i="2"/>
  <c r="D27" i="6" s="1"/>
  <c r="AD26" i="2"/>
  <c r="D28" i="6" s="1"/>
  <c r="AD27" i="2"/>
  <c r="D29" i="6" s="1"/>
  <c r="AD28" i="2"/>
  <c r="D30" i="6" s="1"/>
  <c r="AD29" i="2"/>
  <c r="D31" i="6" s="1"/>
  <c r="AD30" i="2"/>
  <c r="D32" i="6" s="1"/>
  <c r="AD31" i="2"/>
  <c r="D33" i="6" s="1"/>
  <c r="AD32" i="2"/>
  <c r="D34" i="6" s="1"/>
  <c r="AD33" i="2"/>
  <c r="D35" i="6" s="1"/>
  <c r="AD34" i="2"/>
  <c r="D36" i="6" s="1"/>
  <c r="AD35" i="2"/>
  <c r="D37" i="6" s="1"/>
  <c r="AD36" i="2"/>
  <c r="D38" i="6" s="1"/>
  <c r="AD37" i="2"/>
  <c r="D39" i="6" s="1"/>
  <c r="AD38" i="2"/>
  <c r="D40" i="6" s="1"/>
  <c r="AD39" i="2"/>
  <c r="D41" i="6" s="1"/>
  <c r="AD40" i="2"/>
  <c r="D42" i="6" s="1"/>
  <c r="AD41" i="2"/>
  <c r="D43" i="6" s="1"/>
  <c r="AD42" i="2"/>
  <c r="D44" i="6" s="1"/>
  <c r="AD43" i="2"/>
  <c r="D45" i="6" s="1"/>
  <c r="AD44" i="2"/>
  <c r="D46" i="6" s="1"/>
  <c r="AD45" i="2"/>
  <c r="D47" i="6" s="1"/>
  <c r="AD46" i="2"/>
  <c r="D48" i="6" s="1"/>
  <c r="AD47" i="2"/>
  <c r="D49" i="6" s="1"/>
  <c r="AD48" i="2"/>
  <c r="D50" i="6" s="1"/>
  <c r="AD49" i="2"/>
  <c r="D51" i="6" s="1"/>
  <c r="AD50" i="2"/>
  <c r="D52" i="6" s="1"/>
  <c r="D53" i="6"/>
  <c r="D54" i="6"/>
  <c r="D55" i="6"/>
  <c r="D56" i="6"/>
  <c r="D57" i="6"/>
  <c r="D58" i="6"/>
  <c r="D59" i="6"/>
  <c r="D60" i="6"/>
  <c r="AD9" i="2"/>
  <c r="S8" i="2"/>
  <c r="H89" i="6" l="1"/>
  <c r="H100" i="6"/>
  <c r="H76" i="6"/>
  <c r="H106" i="6"/>
  <c r="H103" i="6"/>
  <c r="H91" i="6"/>
  <c r="H79" i="6"/>
  <c r="H67" i="6"/>
  <c r="H102" i="6"/>
  <c r="H90" i="6"/>
  <c r="H78" i="6"/>
  <c r="H66" i="6"/>
  <c r="H101" i="6"/>
  <c r="H88" i="6"/>
  <c r="H108" i="6"/>
  <c r="H96" i="6"/>
  <c r="H84" i="6"/>
  <c r="H72" i="6"/>
  <c r="H110" i="6"/>
  <c r="H86" i="6"/>
  <c r="H74" i="6"/>
  <c r="H62" i="6"/>
  <c r="H94" i="6"/>
  <c r="H82" i="6"/>
  <c r="H105" i="6"/>
  <c r="H93" i="6"/>
  <c r="H81" i="6"/>
  <c r="H69" i="6"/>
  <c r="H95" i="6"/>
  <c r="H83" i="6"/>
  <c r="H71" i="6"/>
  <c r="H104" i="6"/>
  <c r="H92" i="6"/>
  <c r="H80" i="6"/>
  <c r="H68" i="6"/>
  <c r="H65" i="6"/>
  <c r="H77" i="6"/>
  <c r="B15" i="6"/>
  <c r="D11" i="6"/>
  <c r="T10" i="2"/>
  <c r="T12" i="2"/>
  <c r="T14" i="2"/>
  <c r="T16" i="2"/>
  <c r="T18" i="2"/>
  <c r="T20" i="2"/>
  <c r="T22" i="2"/>
  <c r="T24" i="2"/>
  <c r="T26" i="2"/>
  <c r="T28" i="2"/>
  <c r="T30" i="2"/>
  <c r="T32" i="2"/>
  <c r="T34" i="2"/>
  <c r="T36" i="2"/>
  <c r="T38" i="2"/>
  <c r="T40" i="2"/>
  <c r="T42" i="2"/>
  <c r="T44" i="2"/>
  <c r="T46" i="2"/>
  <c r="T48" i="2"/>
  <c r="T50" i="2"/>
  <c r="T11" i="2"/>
  <c r="T13" i="2"/>
  <c r="T15" i="2"/>
  <c r="T17" i="2"/>
  <c r="T19" i="2"/>
  <c r="T21" i="2"/>
  <c r="T23" i="2"/>
  <c r="T25" i="2"/>
  <c r="T27" i="2"/>
  <c r="T29" i="2"/>
  <c r="T31" i="2"/>
  <c r="T33" i="2"/>
  <c r="T35" i="2"/>
  <c r="T37" i="2"/>
  <c r="T39" i="2"/>
  <c r="T41" i="2"/>
  <c r="T43" i="2"/>
  <c r="T45" i="2"/>
  <c r="T47" i="2"/>
  <c r="T49" i="2"/>
  <c r="AZ9" i="2"/>
  <c r="F11" i="6" s="1"/>
  <c r="T9" i="2"/>
  <c r="H21" i="13"/>
  <c r="H22" i="13"/>
  <c r="H20" i="13"/>
  <c r="U9" i="2"/>
  <c r="G11" i="6" s="1"/>
  <c r="U10" i="2"/>
  <c r="G12" i="6" s="1"/>
  <c r="U11" i="2"/>
  <c r="G13" i="6" s="1"/>
  <c r="U12" i="2"/>
  <c r="G14" i="6" s="1"/>
  <c r="U13" i="2"/>
  <c r="G15" i="6" s="1"/>
  <c r="U14" i="2"/>
  <c r="G16" i="6" s="1"/>
  <c r="U15" i="2"/>
  <c r="G17" i="6" s="1"/>
  <c r="U16" i="2"/>
  <c r="G18" i="6" s="1"/>
  <c r="U17" i="2"/>
  <c r="G19" i="6" s="1"/>
  <c r="U18" i="2"/>
  <c r="G20" i="6" s="1"/>
  <c r="U19" i="2"/>
  <c r="G21" i="6" s="1"/>
  <c r="U20" i="2"/>
  <c r="G22" i="6" s="1"/>
  <c r="U21" i="2"/>
  <c r="G23" i="6" s="1"/>
  <c r="U22" i="2"/>
  <c r="G24" i="6" s="1"/>
  <c r="U23" i="2"/>
  <c r="G25" i="6" s="1"/>
  <c r="U24" i="2"/>
  <c r="G26" i="6" s="1"/>
  <c r="U25" i="2"/>
  <c r="G27" i="6" s="1"/>
  <c r="U26" i="2"/>
  <c r="G28" i="6" s="1"/>
  <c r="U27" i="2"/>
  <c r="G29" i="6" s="1"/>
  <c r="U28" i="2"/>
  <c r="G30" i="6" s="1"/>
  <c r="U29" i="2"/>
  <c r="G31" i="6" s="1"/>
  <c r="U30" i="2"/>
  <c r="G32" i="6" s="1"/>
  <c r="U31" i="2"/>
  <c r="G33" i="6" s="1"/>
  <c r="U32" i="2"/>
  <c r="G34" i="6" s="1"/>
  <c r="U33" i="2"/>
  <c r="G35" i="6" s="1"/>
  <c r="U34" i="2"/>
  <c r="G36" i="6" s="1"/>
  <c r="U35" i="2"/>
  <c r="G37" i="6" s="1"/>
  <c r="U36" i="2"/>
  <c r="G38" i="6" s="1"/>
  <c r="U37" i="2"/>
  <c r="G39" i="6" s="1"/>
  <c r="U38" i="2"/>
  <c r="G40" i="6" s="1"/>
  <c r="U39" i="2"/>
  <c r="G41" i="6" s="1"/>
  <c r="U40" i="2"/>
  <c r="G42" i="6" s="1"/>
  <c r="U41" i="2"/>
  <c r="G43" i="6" s="1"/>
  <c r="U42" i="2"/>
  <c r="G44" i="6" s="1"/>
  <c r="U43" i="2"/>
  <c r="G45" i="6" s="1"/>
  <c r="U44" i="2"/>
  <c r="G46" i="6" s="1"/>
  <c r="U45" i="2"/>
  <c r="G47" i="6" s="1"/>
  <c r="U46" i="2"/>
  <c r="G48" i="6" s="1"/>
  <c r="U47" i="2"/>
  <c r="G49" i="6" s="1"/>
  <c r="U48" i="2"/>
  <c r="G50" i="6" s="1"/>
  <c r="U49" i="2"/>
  <c r="G51" i="6" s="1"/>
  <c r="U50" i="2"/>
  <c r="G52" i="6" s="1"/>
  <c r="G53" i="6"/>
  <c r="G54" i="6"/>
  <c r="G55" i="6"/>
  <c r="G56" i="6"/>
  <c r="G57" i="6"/>
  <c r="G58" i="6"/>
  <c r="G59" i="6"/>
  <c r="G60" i="6"/>
  <c r="AI8" i="2"/>
  <c r="AG8" i="2"/>
  <c r="AE8" i="2"/>
  <c r="AB8" i="2"/>
  <c r="Z8" i="2"/>
  <c r="X8" i="2"/>
  <c r="Y11" i="2" s="1"/>
  <c r="V8" i="2"/>
  <c r="Q8" i="2"/>
  <c r="O8" i="2"/>
  <c r="M8" i="2"/>
  <c r="J8" i="2"/>
  <c r="H8" i="2"/>
  <c r="F8" i="2"/>
  <c r="F24" i="13"/>
  <c r="G24" i="13"/>
  <c r="E24" i="13"/>
  <c r="C16" i="13"/>
  <c r="B16" i="6" l="1"/>
  <c r="G10" i="6"/>
  <c r="E10" i="6"/>
  <c r="D10" i="6"/>
  <c r="K11" i="2"/>
  <c r="K13" i="2"/>
  <c r="K15" i="2"/>
  <c r="K17" i="2"/>
  <c r="K19" i="2"/>
  <c r="K21" i="2"/>
  <c r="K23" i="2"/>
  <c r="K25" i="2"/>
  <c r="K27" i="2"/>
  <c r="K29" i="2"/>
  <c r="K31" i="2"/>
  <c r="K33" i="2"/>
  <c r="K35" i="2"/>
  <c r="K37" i="2"/>
  <c r="K39" i="2"/>
  <c r="K41" i="2"/>
  <c r="K43" i="2"/>
  <c r="K45" i="2"/>
  <c r="K47" i="2"/>
  <c r="K49" i="2"/>
  <c r="K10" i="2"/>
  <c r="K12" i="2"/>
  <c r="K14" i="2"/>
  <c r="K16" i="2"/>
  <c r="K18" i="2"/>
  <c r="K20" i="2"/>
  <c r="K22" i="2"/>
  <c r="K24" i="2"/>
  <c r="K26" i="2"/>
  <c r="K28" i="2"/>
  <c r="K30" i="2"/>
  <c r="K32" i="2"/>
  <c r="K34" i="2"/>
  <c r="K36" i="2"/>
  <c r="K38" i="2"/>
  <c r="K40" i="2"/>
  <c r="K42" i="2"/>
  <c r="K44" i="2"/>
  <c r="K46" i="2"/>
  <c r="K48" i="2"/>
  <c r="K50" i="2"/>
  <c r="AC10" i="2"/>
  <c r="AC12" i="2"/>
  <c r="AC14" i="2"/>
  <c r="AC16" i="2"/>
  <c r="AC18" i="2"/>
  <c r="AC20" i="2"/>
  <c r="AC22" i="2"/>
  <c r="AC24" i="2"/>
  <c r="AC26" i="2"/>
  <c r="AC28" i="2"/>
  <c r="AC30" i="2"/>
  <c r="AC32" i="2"/>
  <c r="AC34" i="2"/>
  <c r="AC36" i="2"/>
  <c r="AC38" i="2"/>
  <c r="AC40" i="2"/>
  <c r="AC42" i="2"/>
  <c r="AC44" i="2"/>
  <c r="AC46" i="2"/>
  <c r="AC48" i="2"/>
  <c r="AC50" i="2"/>
  <c r="AC11" i="2"/>
  <c r="AC13" i="2"/>
  <c r="AC15" i="2"/>
  <c r="AC17" i="2"/>
  <c r="AC19" i="2"/>
  <c r="AC21" i="2"/>
  <c r="AC23" i="2"/>
  <c r="AC25" i="2"/>
  <c r="AC27" i="2"/>
  <c r="AC29" i="2"/>
  <c r="AC31" i="2"/>
  <c r="AC33" i="2"/>
  <c r="AC35" i="2"/>
  <c r="AC37" i="2"/>
  <c r="AC39" i="2"/>
  <c r="AC41" i="2"/>
  <c r="AC43" i="2"/>
  <c r="AC45" i="2"/>
  <c r="AC47" i="2"/>
  <c r="AC49" i="2"/>
  <c r="AF11" i="2"/>
  <c r="AF13" i="2"/>
  <c r="AF15" i="2"/>
  <c r="AF17" i="2"/>
  <c r="AF19" i="2"/>
  <c r="AF21" i="2"/>
  <c r="AF23" i="2"/>
  <c r="AF25" i="2"/>
  <c r="AF27" i="2"/>
  <c r="AF29" i="2"/>
  <c r="AF10" i="2"/>
  <c r="AF14" i="2"/>
  <c r="AF18" i="2"/>
  <c r="AF22" i="2"/>
  <c r="AF26" i="2"/>
  <c r="AF30" i="2"/>
  <c r="AF32" i="2"/>
  <c r="AF34" i="2"/>
  <c r="AF36" i="2"/>
  <c r="AF38" i="2"/>
  <c r="AF40" i="2"/>
  <c r="AF42" i="2"/>
  <c r="AF44" i="2"/>
  <c r="AF46" i="2"/>
  <c r="AF48" i="2"/>
  <c r="AF50" i="2"/>
  <c r="AF12" i="2"/>
  <c r="AF16" i="2"/>
  <c r="AF20" i="2"/>
  <c r="AF24" i="2"/>
  <c r="AF28" i="2"/>
  <c r="AF31" i="2"/>
  <c r="AF33" i="2"/>
  <c r="AF35" i="2"/>
  <c r="AF37" i="2"/>
  <c r="AF39" i="2"/>
  <c r="AF41" i="2"/>
  <c r="AF43" i="2"/>
  <c r="AF45" i="2"/>
  <c r="AF47" i="2"/>
  <c r="AF49" i="2"/>
  <c r="AH10" i="2"/>
  <c r="AH12" i="2"/>
  <c r="AH14" i="2"/>
  <c r="AH16" i="2"/>
  <c r="AH18" i="2"/>
  <c r="AH20" i="2"/>
  <c r="AH22" i="2"/>
  <c r="AH24" i="2"/>
  <c r="AH26" i="2"/>
  <c r="AH28" i="2"/>
  <c r="AH30" i="2"/>
  <c r="AH32" i="2"/>
  <c r="AH34" i="2"/>
  <c r="AH36" i="2"/>
  <c r="AH38" i="2"/>
  <c r="AH40" i="2"/>
  <c r="AH42" i="2"/>
  <c r="AH44" i="2"/>
  <c r="AH46" i="2"/>
  <c r="AH48" i="2"/>
  <c r="AH50" i="2"/>
  <c r="AH11" i="2"/>
  <c r="AH15" i="2"/>
  <c r="AH19" i="2"/>
  <c r="AH23" i="2"/>
  <c r="AH27" i="2"/>
  <c r="AH31" i="2"/>
  <c r="AH35" i="2"/>
  <c r="AH39" i="2"/>
  <c r="AH43" i="2"/>
  <c r="AH47" i="2"/>
  <c r="AH13" i="2"/>
  <c r="AH17" i="2"/>
  <c r="AH21" i="2"/>
  <c r="AH25" i="2"/>
  <c r="AH29" i="2"/>
  <c r="AH33" i="2"/>
  <c r="AH37" i="2"/>
  <c r="AH41" i="2"/>
  <c r="AH45" i="2"/>
  <c r="AH49" i="2"/>
  <c r="AJ11" i="2"/>
  <c r="AJ13" i="2"/>
  <c r="AJ15" i="2"/>
  <c r="AJ17" i="2"/>
  <c r="AJ19" i="2"/>
  <c r="AJ21" i="2"/>
  <c r="AJ23" i="2"/>
  <c r="AJ25" i="2"/>
  <c r="AJ27" i="2"/>
  <c r="AJ29" i="2"/>
  <c r="AJ31" i="2"/>
  <c r="AJ33" i="2"/>
  <c r="AJ35" i="2"/>
  <c r="AJ37" i="2"/>
  <c r="AJ39" i="2"/>
  <c r="AJ41" i="2"/>
  <c r="AJ43" i="2"/>
  <c r="AJ45" i="2"/>
  <c r="AJ47" i="2"/>
  <c r="AJ49" i="2"/>
  <c r="AJ10" i="2"/>
  <c r="AJ12" i="2"/>
  <c r="AJ14" i="2"/>
  <c r="AJ16" i="2"/>
  <c r="AJ18" i="2"/>
  <c r="AJ20" i="2"/>
  <c r="AJ22" i="2"/>
  <c r="AJ24" i="2"/>
  <c r="AJ26" i="2"/>
  <c r="AJ28" i="2"/>
  <c r="AJ30" i="2"/>
  <c r="AJ32" i="2"/>
  <c r="AJ34" i="2"/>
  <c r="AJ36" i="2"/>
  <c r="AJ38" i="2"/>
  <c r="AJ40" i="2"/>
  <c r="AJ42" i="2"/>
  <c r="AJ44" i="2"/>
  <c r="AJ46" i="2"/>
  <c r="AJ48" i="2"/>
  <c r="AJ50" i="2"/>
  <c r="AC9" i="2"/>
  <c r="G10" i="2"/>
  <c r="G12" i="2"/>
  <c r="G14" i="2"/>
  <c r="G16" i="2"/>
  <c r="G18" i="2"/>
  <c r="G20" i="2"/>
  <c r="G22" i="2"/>
  <c r="G24" i="2"/>
  <c r="G26" i="2"/>
  <c r="G28" i="2"/>
  <c r="G30" i="2"/>
  <c r="G32" i="2"/>
  <c r="G34" i="2"/>
  <c r="G36" i="2"/>
  <c r="G38" i="2"/>
  <c r="G40" i="2"/>
  <c r="G42" i="2"/>
  <c r="G44" i="2"/>
  <c r="G46" i="2"/>
  <c r="G48" i="2"/>
  <c r="G50" i="2"/>
  <c r="G13" i="2"/>
  <c r="G17" i="2"/>
  <c r="G21" i="2"/>
  <c r="G25" i="2"/>
  <c r="G29" i="2"/>
  <c r="G33" i="2"/>
  <c r="G37" i="2"/>
  <c r="G41" i="2"/>
  <c r="G45" i="2"/>
  <c r="G49" i="2"/>
  <c r="G15" i="2"/>
  <c r="G23" i="2"/>
  <c r="G31" i="2"/>
  <c r="G39" i="2"/>
  <c r="G47" i="2"/>
  <c r="G11" i="2"/>
  <c r="G27" i="2"/>
  <c r="G35" i="2"/>
  <c r="G19" i="2"/>
  <c r="G43" i="2"/>
  <c r="P10" i="2"/>
  <c r="P12" i="2"/>
  <c r="P14" i="2"/>
  <c r="P16" i="2"/>
  <c r="P18" i="2"/>
  <c r="P20" i="2"/>
  <c r="P22" i="2"/>
  <c r="P24" i="2"/>
  <c r="P26" i="2"/>
  <c r="P28" i="2"/>
  <c r="P30" i="2"/>
  <c r="P32" i="2"/>
  <c r="P34" i="2"/>
  <c r="P36" i="2"/>
  <c r="P38" i="2"/>
  <c r="P40" i="2"/>
  <c r="P42" i="2"/>
  <c r="P44" i="2"/>
  <c r="P46" i="2"/>
  <c r="P48" i="2"/>
  <c r="P50" i="2"/>
  <c r="P13" i="2"/>
  <c r="P17" i="2"/>
  <c r="P21" i="2"/>
  <c r="P25" i="2"/>
  <c r="P29" i="2"/>
  <c r="P33" i="2"/>
  <c r="P37" i="2"/>
  <c r="P41" i="2"/>
  <c r="P45" i="2"/>
  <c r="P49" i="2"/>
  <c r="P11" i="2"/>
  <c r="P19" i="2"/>
  <c r="P27" i="2"/>
  <c r="P35" i="2"/>
  <c r="P43" i="2"/>
  <c r="P15" i="2"/>
  <c r="P23" i="2"/>
  <c r="P31" i="2"/>
  <c r="P39" i="2"/>
  <c r="P47" i="2"/>
  <c r="W11" i="2"/>
  <c r="W13" i="2"/>
  <c r="W15" i="2"/>
  <c r="W17" i="2"/>
  <c r="W19" i="2"/>
  <c r="W21" i="2"/>
  <c r="W23" i="2"/>
  <c r="W25" i="2"/>
  <c r="W27" i="2"/>
  <c r="W29" i="2"/>
  <c r="W31" i="2"/>
  <c r="W33" i="2"/>
  <c r="W35" i="2"/>
  <c r="W37" i="2"/>
  <c r="W39" i="2"/>
  <c r="W41" i="2"/>
  <c r="W43" i="2"/>
  <c r="W45" i="2"/>
  <c r="W47" i="2"/>
  <c r="W49" i="2"/>
  <c r="W10" i="2"/>
  <c r="W12" i="2"/>
  <c r="W14" i="2"/>
  <c r="W16" i="2"/>
  <c r="W18" i="2"/>
  <c r="W20" i="2"/>
  <c r="W22" i="2"/>
  <c r="W24" i="2"/>
  <c r="W26" i="2"/>
  <c r="W28" i="2"/>
  <c r="W30" i="2"/>
  <c r="W32" i="2"/>
  <c r="W34" i="2"/>
  <c r="W36" i="2"/>
  <c r="W38" i="2"/>
  <c r="W40" i="2"/>
  <c r="W42" i="2"/>
  <c r="W44" i="2"/>
  <c r="W46" i="2"/>
  <c r="W48" i="2"/>
  <c r="W50" i="2"/>
  <c r="AA10" i="2"/>
  <c r="AA12" i="2"/>
  <c r="AA14" i="2"/>
  <c r="AA16" i="2"/>
  <c r="AA18" i="2"/>
  <c r="AA20" i="2"/>
  <c r="AA22" i="2"/>
  <c r="AA24" i="2"/>
  <c r="AA26" i="2"/>
  <c r="AA28" i="2"/>
  <c r="AA30" i="2"/>
  <c r="AA32" i="2"/>
  <c r="AA34" i="2"/>
  <c r="AA36" i="2"/>
  <c r="AA38" i="2"/>
  <c r="AA40" i="2"/>
  <c r="AA42" i="2"/>
  <c r="AA44" i="2"/>
  <c r="AA46" i="2"/>
  <c r="AA48" i="2"/>
  <c r="AA50" i="2"/>
  <c r="AA11" i="2"/>
  <c r="AA13" i="2"/>
  <c r="AA15" i="2"/>
  <c r="AA17" i="2"/>
  <c r="AA19" i="2"/>
  <c r="AA21" i="2"/>
  <c r="AA23" i="2"/>
  <c r="AA25" i="2"/>
  <c r="AA27" i="2"/>
  <c r="AA29" i="2"/>
  <c r="AA31" i="2"/>
  <c r="AA33" i="2"/>
  <c r="AA35" i="2"/>
  <c r="AA37" i="2"/>
  <c r="AA39" i="2"/>
  <c r="AA41" i="2"/>
  <c r="AA43" i="2"/>
  <c r="AA45" i="2"/>
  <c r="AA47" i="2"/>
  <c r="AA49" i="2"/>
  <c r="E11" i="2"/>
  <c r="E13" i="2"/>
  <c r="E15" i="2"/>
  <c r="E17" i="2"/>
  <c r="E19" i="2"/>
  <c r="E21" i="2"/>
  <c r="E23" i="2"/>
  <c r="E25" i="2"/>
  <c r="E27" i="2"/>
  <c r="E29" i="2"/>
  <c r="E31" i="2"/>
  <c r="E33" i="2"/>
  <c r="E35" i="2"/>
  <c r="E37" i="2"/>
  <c r="E39" i="2"/>
  <c r="E41" i="2"/>
  <c r="E43" i="2"/>
  <c r="E45" i="2"/>
  <c r="E47" i="2"/>
  <c r="E49" i="2"/>
  <c r="E10" i="2"/>
  <c r="E14" i="2"/>
  <c r="E18" i="2"/>
  <c r="E22" i="2"/>
  <c r="E26" i="2"/>
  <c r="E30" i="2"/>
  <c r="E34" i="2"/>
  <c r="E38" i="2"/>
  <c r="E42" i="2"/>
  <c r="E46" i="2"/>
  <c r="E50" i="2"/>
  <c r="E12" i="2"/>
  <c r="E20" i="2"/>
  <c r="E28" i="2"/>
  <c r="E36" i="2"/>
  <c r="E44" i="2"/>
  <c r="E16" i="2"/>
  <c r="E32" i="2"/>
  <c r="E40" i="2"/>
  <c r="E24" i="2"/>
  <c r="E48" i="2"/>
  <c r="I11" i="2"/>
  <c r="I13" i="2"/>
  <c r="I15" i="2"/>
  <c r="I17" i="2"/>
  <c r="I19" i="2"/>
  <c r="I21" i="2"/>
  <c r="I23" i="2"/>
  <c r="I25" i="2"/>
  <c r="I27" i="2"/>
  <c r="I29" i="2"/>
  <c r="I31" i="2"/>
  <c r="I33" i="2"/>
  <c r="I35" i="2"/>
  <c r="I37" i="2"/>
  <c r="I39" i="2"/>
  <c r="I41" i="2"/>
  <c r="I43" i="2"/>
  <c r="I45" i="2"/>
  <c r="I47" i="2"/>
  <c r="I49" i="2"/>
  <c r="I12" i="2"/>
  <c r="I16" i="2"/>
  <c r="I20" i="2"/>
  <c r="I24" i="2"/>
  <c r="I28" i="2"/>
  <c r="I32" i="2"/>
  <c r="I36" i="2"/>
  <c r="I40" i="2"/>
  <c r="I44" i="2"/>
  <c r="I48" i="2"/>
  <c r="I10" i="2"/>
  <c r="I18" i="2"/>
  <c r="I26" i="2"/>
  <c r="I34" i="2"/>
  <c r="I42" i="2"/>
  <c r="I50" i="2"/>
  <c r="I14" i="2"/>
  <c r="I30" i="2"/>
  <c r="I38" i="2"/>
  <c r="I22" i="2"/>
  <c r="I46" i="2"/>
  <c r="N11" i="2"/>
  <c r="N13" i="2"/>
  <c r="N15" i="2"/>
  <c r="N17" i="2"/>
  <c r="N19" i="2"/>
  <c r="N21" i="2"/>
  <c r="N23" i="2"/>
  <c r="N25" i="2"/>
  <c r="N27" i="2"/>
  <c r="N29" i="2"/>
  <c r="N31" i="2"/>
  <c r="N33" i="2"/>
  <c r="N35" i="2"/>
  <c r="N37" i="2"/>
  <c r="N39" i="2"/>
  <c r="N41" i="2"/>
  <c r="N43" i="2"/>
  <c r="N45" i="2"/>
  <c r="N47" i="2"/>
  <c r="N49" i="2"/>
  <c r="N10" i="2"/>
  <c r="N14" i="2"/>
  <c r="N18" i="2"/>
  <c r="N22" i="2"/>
  <c r="N26" i="2"/>
  <c r="N30" i="2"/>
  <c r="N34" i="2"/>
  <c r="N38" i="2"/>
  <c r="N42" i="2"/>
  <c r="N46" i="2"/>
  <c r="N50" i="2"/>
  <c r="N16" i="2"/>
  <c r="N24" i="2"/>
  <c r="N32" i="2"/>
  <c r="N40" i="2"/>
  <c r="N48" i="2"/>
  <c r="N12" i="2"/>
  <c r="N20" i="2"/>
  <c r="N28" i="2"/>
  <c r="N36" i="2"/>
  <c r="N44" i="2"/>
  <c r="R11" i="2"/>
  <c r="R13" i="2"/>
  <c r="R15" i="2"/>
  <c r="R17" i="2"/>
  <c r="R19" i="2"/>
  <c r="R21" i="2"/>
  <c r="R23" i="2"/>
  <c r="R25" i="2"/>
  <c r="R27" i="2"/>
  <c r="R29" i="2"/>
  <c r="R31" i="2"/>
  <c r="R33" i="2"/>
  <c r="R35" i="2"/>
  <c r="R37" i="2"/>
  <c r="R39" i="2"/>
  <c r="R41" i="2"/>
  <c r="R43" i="2"/>
  <c r="R10" i="2"/>
  <c r="R12" i="2"/>
  <c r="R14" i="2"/>
  <c r="R16" i="2"/>
  <c r="R18" i="2"/>
  <c r="R20" i="2"/>
  <c r="R22" i="2"/>
  <c r="R24" i="2"/>
  <c r="R26" i="2"/>
  <c r="R28" i="2"/>
  <c r="R30" i="2"/>
  <c r="R32" i="2"/>
  <c r="R34" i="2"/>
  <c r="R36" i="2"/>
  <c r="R38" i="2"/>
  <c r="R40" i="2"/>
  <c r="R42" i="2"/>
  <c r="R44" i="2"/>
  <c r="R45" i="2"/>
  <c r="R47" i="2"/>
  <c r="R49" i="2"/>
  <c r="R48" i="2"/>
  <c r="R46" i="2"/>
  <c r="R50" i="2"/>
  <c r="Y10" i="2"/>
  <c r="Y12" i="2"/>
  <c r="Y14" i="2"/>
  <c r="Y16" i="2"/>
  <c r="Y18" i="2"/>
  <c r="Y20" i="2"/>
  <c r="Y22" i="2"/>
  <c r="Y24" i="2"/>
  <c r="Y26" i="2"/>
  <c r="Y28" i="2"/>
  <c r="Y30" i="2"/>
  <c r="Y32" i="2"/>
  <c r="Y34" i="2"/>
  <c r="Y36" i="2"/>
  <c r="Y38" i="2"/>
  <c r="Y40" i="2"/>
  <c r="Y42" i="2"/>
  <c r="Y44" i="2"/>
  <c r="Y46" i="2"/>
  <c r="Y48" i="2"/>
  <c r="Y50" i="2"/>
  <c r="Y13" i="2"/>
  <c r="Y15" i="2"/>
  <c r="Y17" i="2"/>
  <c r="Y19" i="2"/>
  <c r="Y21" i="2"/>
  <c r="Y23" i="2"/>
  <c r="Y25" i="2"/>
  <c r="Y27" i="2"/>
  <c r="Y29" i="2"/>
  <c r="Y31" i="2"/>
  <c r="Y33" i="2"/>
  <c r="Y35" i="2"/>
  <c r="Y37" i="2"/>
  <c r="Y39" i="2"/>
  <c r="Y41" i="2"/>
  <c r="Y43" i="2"/>
  <c r="Y45" i="2"/>
  <c r="Y47" i="2"/>
  <c r="Y49" i="2"/>
  <c r="AV11" i="2"/>
  <c r="AV13" i="2"/>
  <c r="AV15" i="2"/>
  <c r="AV17" i="2"/>
  <c r="AV19" i="2"/>
  <c r="AV21" i="2"/>
  <c r="AV23" i="2"/>
  <c r="AV25" i="2"/>
  <c r="AV27" i="2"/>
  <c r="AV29" i="2"/>
  <c r="AV31" i="2"/>
  <c r="AV33" i="2"/>
  <c r="AV35" i="2"/>
  <c r="AV37" i="2"/>
  <c r="AV39" i="2"/>
  <c r="AV41" i="2"/>
  <c r="AV43" i="2"/>
  <c r="AV45" i="2"/>
  <c r="AV47" i="2"/>
  <c r="AV49" i="2"/>
  <c r="AV10" i="2"/>
  <c r="AV12" i="2"/>
  <c r="AV14" i="2"/>
  <c r="AV16" i="2"/>
  <c r="AV18" i="2"/>
  <c r="AV20" i="2"/>
  <c r="AV22" i="2"/>
  <c r="AV24" i="2"/>
  <c r="AV26" i="2"/>
  <c r="AV28" i="2"/>
  <c r="AV30" i="2"/>
  <c r="AV32" i="2"/>
  <c r="AV34" i="2"/>
  <c r="AV36" i="2"/>
  <c r="AV38" i="2"/>
  <c r="AV40" i="2"/>
  <c r="AV42" i="2"/>
  <c r="AV44" i="2"/>
  <c r="AV46" i="2"/>
  <c r="AV48" i="2"/>
  <c r="AV50" i="2"/>
  <c r="AT11" i="2"/>
  <c r="AT13" i="2"/>
  <c r="AT15" i="2"/>
  <c r="AT17" i="2"/>
  <c r="AT19" i="2"/>
  <c r="AT21" i="2"/>
  <c r="AT23" i="2"/>
  <c r="AT25" i="2"/>
  <c r="AT27" i="2"/>
  <c r="AT29" i="2"/>
  <c r="AT31" i="2"/>
  <c r="AT33" i="2"/>
  <c r="AT35" i="2"/>
  <c r="AT37" i="2"/>
  <c r="AT39" i="2"/>
  <c r="AT41" i="2"/>
  <c r="AT43" i="2"/>
  <c r="AT45" i="2"/>
  <c r="AT47" i="2"/>
  <c r="AT49" i="2"/>
  <c r="AT12" i="2"/>
  <c r="AT16" i="2"/>
  <c r="AT20" i="2"/>
  <c r="AT24" i="2"/>
  <c r="AT28" i="2"/>
  <c r="AT32" i="2"/>
  <c r="AT36" i="2"/>
  <c r="AT40" i="2"/>
  <c r="AT44" i="2"/>
  <c r="AT48" i="2"/>
  <c r="AT14" i="2"/>
  <c r="AT22" i="2"/>
  <c r="AT30" i="2"/>
  <c r="AT38" i="2"/>
  <c r="AT46" i="2"/>
  <c r="AT18" i="2"/>
  <c r="AT34" i="2"/>
  <c r="AT50" i="2"/>
  <c r="AT10" i="2"/>
  <c r="AT26" i="2"/>
  <c r="AT42" i="2"/>
  <c r="AX10" i="2"/>
  <c r="AX12" i="2"/>
  <c r="AX14" i="2"/>
  <c r="AX16" i="2"/>
  <c r="AX18" i="2"/>
  <c r="AX20" i="2"/>
  <c r="AX22" i="2"/>
  <c r="AX24" i="2"/>
  <c r="AX26" i="2"/>
  <c r="AX28" i="2"/>
  <c r="AX30" i="2"/>
  <c r="AX32" i="2"/>
  <c r="AX34" i="2"/>
  <c r="AX36" i="2"/>
  <c r="AX38" i="2"/>
  <c r="AX40" i="2"/>
  <c r="AX42" i="2"/>
  <c r="AX44" i="2"/>
  <c r="AX46" i="2"/>
  <c r="AX48" i="2"/>
  <c r="AX50" i="2"/>
  <c r="AX11" i="2"/>
  <c r="AX13" i="2"/>
  <c r="AX15" i="2"/>
  <c r="AX17" i="2"/>
  <c r="AX19" i="2"/>
  <c r="AX21" i="2"/>
  <c r="AX23" i="2"/>
  <c r="AX25" i="2"/>
  <c r="AX27" i="2"/>
  <c r="AX29" i="2"/>
  <c r="AX31" i="2"/>
  <c r="AX33" i="2"/>
  <c r="AX35" i="2"/>
  <c r="AX37" i="2"/>
  <c r="AX39" i="2"/>
  <c r="AX41" i="2"/>
  <c r="AX43" i="2"/>
  <c r="AX45" i="2"/>
  <c r="AX47" i="2"/>
  <c r="AX49" i="2"/>
  <c r="AV9" i="2"/>
  <c r="AX9" i="2"/>
  <c r="AT9" i="2"/>
  <c r="AJ9" i="2"/>
  <c r="AH9" i="2"/>
  <c r="AF9" i="2"/>
  <c r="AA9" i="2"/>
  <c r="Y9" i="2"/>
  <c r="W9" i="2"/>
  <c r="R9" i="2"/>
  <c r="P9" i="2"/>
  <c r="N9" i="2"/>
  <c r="K9" i="2"/>
  <c r="L10" i="2"/>
  <c r="L12" i="2"/>
  <c r="L14" i="2"/>
  <c r="L16" i="2"/>
  <c r="L18" i="2"/>
  <c r="L20" i="2"/>
  <c r="L22" i="2"/>
  <c r="L24" i="2"/>
  <c r="L26" i="2"/>
  <c r="L28" i="2"/>
  <c r="L30" i="2"/>
  <c r="L32" i="2"/>
  <c r="L34" i="2"/>
  <c r="L36" i="2"/>
  <c r="L38" i="2"/>
  <c r="L40" i="2"/>
  <c r="E42" i="6" s="1"/>
  <c r="H42" i="6" s="1"/>
  <c r="L42" i="2"/>
  <c r="E44" i="6" s="1"/>
  <c r="H44" i="6" s="1"/>
  <c r="L44" i="2"/>
  <c r="E46" i="6" s="1"/>
  <c r="H46" i="6" s="1"/>
  <c r="L46" i="2"/>
  <c r="E48" i="6" s="1"/>
  <c r="H48" i="6" s="1"/>
  <c r="L48" i="2"/>
  <c r="E50" i="6" s="1"/>
  <c r="H50" i="6" s="1"/>
  <c r="L50" i="2"/>
  <c r="E52" i="6" s="1"/>
  <c r="H52" i="6" s="1"/>
  <c r="E54" i="6"/>
  <c r="H54" i="6" s="1"/>
  <c r="E56" i="6"/>
  <c r="H56" i="6" s="1"/>
  <c r="E58" i="6"/>
  <c r="H58" i="6" s="1"/>
  <c r="E60" i="6"/>
  <c r="H60" i="6" s="1"/>
  <c r="L11" i="2"/>
  <c r="L13" i="2"/>
  <c r="L15" i="2"/>
  <c r="L17" i="2"/>
  <c r="L19" i="2"/>
  <c r="L21" i="2"/>
  <c r="L23" i="2"/>
  <c r="L25" i="2"/>
  <c r="L27" i="2"/>
  <c r="L29" i="2"/>
  <c r="L31" i="2"/>
  <c r="L33" i="2"/>
  <c r="L35" i="2"/>
  <c r="L37" i="2"/>
  <c r="E41" i="6"/>
  <c r="H41" i="6" s="1"/>
  <c r="L41" i="2"/>
  <c r="E43" i="6" s="1"/>
  <c r="H43" i="6" s="1"/>
  <c r="L43" i="2"/>
  <c r="E45" i="6" s="1"/>
  <c r="H45" i="6" s="1"/>
  <c r="L45" i="2"/>
  <c r="E47" i="6" s="1"/>
  <c r="H47" i="6" s="1"/>
  <c r="L47" i="2"/>
  <c r="E49" i="6" s="1"/>
  <c r="H49" i="6" s="1"/>
  <c r="L49" i="2"/>
  <c r="E51" i="6" s="1"/>
  <c r="H51" i="6" s="1"/>
  <c r="E53" i="6"/>
  <c r="H53" i="6" s="1"/>
  <c r="E55" i="6"/>
  <c r="H55" i="6" s="1"/>
  <c r="E57" i="6"/>
  <c r="H57" i="6" s="1"/>
  <c r="E59" i="6"/>
  <c r="H59" i="6" s="1"/>
  <c r="G9" i="2"/>
  <c r="E9" i="2"/>
  <c r="U8" i="2"/>
  <c r="AD8" i="2"/>
  <c r="AK8" i="2"/>
  <c r="L8" i="2"/>
  <c r="F25" i="13"/>
  <c r="F34" i="13" s="1"/>
  <c r="B17" i="6" l="1"/>
  <c r="BA47" i="2"/>
  <c r="BA39" i="2"/>
  <c r="BA31" i="2"/>
  <c r="E33" i="6"/>
  <c r="H33" i="6" s="1"/>
  <c r="BA23" i="2"/>
  <c r="E25" i="6"/>
  <c r="H25" i="6" s="1"/>
  <c r="BA15" i="2"/>
  <c r="E17" i="6"/>
  <c r="H17" i="6" s="1"/>
  <c r="BA44" i="2"/>
  <c r="E38" i="6"/>
  <c r="H38" i="6" s="1"/>
  <c r="BA36" i="2"/>
  <c r="E30" i="6"/>
  <c r="H30" i="6" s="1"/>
  <c r="BA28" i="2"/>
  <c r="E18" i="6"/>
  <c r="H18" i="6" s="1"/>
  <c r="BA16" i="2"/>
  <c r="BA43" i="2"/>
  <c r="BA35" i="2"/>
  <c r="E37" i="6"/>
  <c r="H37" i="6" s="1"/>
  <c r="BA27" i="2"/>
  <c r="E29" i="6"/>
  <c r="H29" i="6" s="1"/>
  <c r="BA19" i="2"/>
  <c r="E21" i="6"/>
  <c r="H21" i="6" s="1"/>
  <c r="E13" i="6"/>
  <c r="H13" i="6" s="1"/>
  <c r="BA11" i="2"/>
  <c r="BA48" i="2"/>
  <c r="BA40" i="2"/>
  <c r="E34" i="6"/>
  <c r="H34" i="6" s="1"/>
  <c r="BA32" i="2"/>
  <c r="E26" i="6"/>
  <c r="H26" i="6" s="1"/>
  <c r="BA24" i="2"/>
  <c r="E22" i="6"/>
  <c r="H22" i="6" s="1"/>
  <c r="BA20" i="2"/>
  <c r="E14" i="6"/>
  <c r="H14" i="6" s="1"/>
  <c r="BA12" i="2"/>
  <c r="BA49" i="2"/>
  <c r="BA45" i="2"/>
  <c r="BA41" i="2"/>
  <c r="BA37" i="2"/>
  <c r="E39" i="6"/>
  <c r="H39" i="6" s="1"/>
  <c r="BA33" i="2"/>
  <c r="E35" i="6"/>
  <c r="H35" i="6" s="1"/>
  <c r="BA29" i="2"/>
  <c r="E31" i="6"/>
  <c r="H31" i="6" s="1"/>
  <c r="BA25" i="2"/>
  <c r="E27" i="6"/>
  <c r="H27" i="6" s="1"/>
  <c r="BA21" i="2"/>
  <c r="E23" i="6"/>
  <c r="H23" i="6" s="1"/>
  <c r="BA17" i="2"/>
  <c r="E19" i="6"/>
  <c r="H19" i="6" s="1"/>
  <c r="BA13" i="2"/>
  <c r="E15" i="6"/>
  <c r="H15" i="6" s="1"/>
  <c r="BA50" i="2"/>
  <c r="BA46" i="2"/>
  <c r="BA42" i="2"/>
  <c r="E40" i="6"/>
  <c r="H40" i="6" s="1"/>
  <c r="BA38" i="2"/>
  <c r="E36" i="6"/>
  <c r="H36" i="6" s="1"/>
  <c r="BA34" i="2"/>
  <c r="E32" i="6"/>
  <c r="H32" i="6" s="1"/>
  <c r="BA30" i="2"/>
  <c r="E28" i="6"/>
  <c r="H28" i="6" s="1"/>
  <c r="BA26" i="2"/>
  <c r="E24" i="6"/>
  <c r="H24" i="6" s="1"/>
  <c r="BA22" i="2"/>
  <c r="E20" i="6"/>
  <c r="H20" i="6" s="1"/>
  <c r="BA18" i="2"/>
  <c r="E16" i="6"/>
  <c r="H16" i="6" s="1"/>
  <c r="BA14" i="2"/>
  <c r="E12" i="6"/>
  <c r="H12" i="6" s="1"/>
  <c r="BA10" i="2"/>
  <c r="BA8" i="2"/>
  <c r="AZ8" i="2"/>
  <c r="B18" i="6" l="1"/>
  <c r="H10" i="6"/>
  <c r="B5" i="15"/>
  <c r="B6" i="15"/>
  <c r="B7" i="15"/>
  <c r="B8" i="15"/>
  <c r="B9" i="15"/>
  <c r="B10" i="15"/>
  <c r="B11" i="15"/>
  <c r="B12" i="15"/>
  <c r="B13" i="15"/>
  <c r="B14" i="15"/>
  <c r="B15" i="15"/>
  <c r="B16" i="15"/>
  <c r="B17" i="15"/>
  <c r="B18" i="15"/>
  <c r="B19" i="15"/>
  <c r="B20" i="15"/>
  <c r="B21" i="15"/>
  <c r="B22" i="15"/>
  <c r="B23" i="15"/>
  <c r="B24" i="15"/>
  <c r="B25" i="15"/>
  <c r="B26" i="15"/>
  <c r="B27" i="15"/>
  <c r="B28" i="15"/>
  <c r="B29" i="15"/>
  <c r="B30" i="15"/>
  <c r="B31" i="15"/>
  <c r="B32" i="15"/>
  <c r="B33" i="15"/>
  <c r="B34" i="15"/>
  <c r="B35" i="15"/>
  <c r="B36" i="15"/>
  <c r="B37" i="15"/>
  <c r="B38" i="15"/>
  <c r="B39" i="15"/>
  <c r="B40" i="15"/>
  <c r="B41" i="15"/>
  <c r="B42" i="15"/>
  <c r="B43" i="15"/>
  <c r="B44" i="15"/>
  <c r="B45" i="15"/>
  <c r="B46" i="15"/>
  <c r="B47" i="15"/>
  <c r="B48" i="15"/>
  <c r="B19" i="6" l="1"/>
  <c r="A6" i="15"/>
  <c r="A7" i="15"/>
  <c r="A8" i="15"/>
  <c r="A9" i="15"/>
  <c r="A10" i="15"/>
  <c r="A11" i="15"/>
  <c r="A12" i="15"/>
  <c r="A13" i="15"/>
  <c r="A14" i="15"/>
  <c r="A15" i="15"/>
  <c r="A16" i="15"/>
  <c r="A17" i="15"/>
  <c r="A18" i="15"/>
  <c r="A19" i="15"/>
  <c r="A20" i="15"/>
  <c r="A21" i="15"/>
  <c r="A22" i="15"/>
  <c r="A23" i="15"/>
  <c r="A24" i="15"/>
  <c r="A25" i="15"/>
  <c r="A26" i="15"/>
  <c r="A27" i="15"/>
  <c r="A28" i="15"/>
  <c r="A29" i="15"/>
  <c r="A30" i="15"/>
  <c r="A31" i="15"/>
  <c r="A32" i="15"/>
  <c r="A33" i="15"/>
  <c r="A34" i="15"/>
  <c r="A35" i="15"/>
  <c r="A36" i="15"/>
  <c r="A37" i="15"/>
  <c r="A38" i="15"/>
  <c r="A39" i="15"/>
  <c r="A40" i="15"/>
  <c r="A41" i="15"/>
  <c r="A42" i="15"/>
  <c r="A43" i="15"/>
  <c r="A44" i="15"/>
  <c r="A45" i="15"/>
  <c r="A46" i="15"/>
  <c r="A47" i="15"/>
  <c r="A48" i="15"/>
  <c r="A5" i="15"/>
  <c r="B20" i="6" l="1"/>
  <c r="C12" i="6"/>
  <c r="C13" i="6"/>
  <c r="C14" i="6"/>
  <c r="C15" i="6"/>
  <c r="C16" i="6"/>
  <c r="C17" i="6"/>
  <c r="C18" i="6"/>
  <c r="C19" i="6"/>
  <c r="C20" i="6"/>
  <c r="C21" i="6"/>
  <c r="C22" i="6"/>
  <c r="C23" i="6"/>
  <c r="C24" i="6"/>
  <c r="C25" i="6"/>
  <c r="C26" i="6"/>
  <c r="C27" i="6"/>
  <c r="C28" i="6"/>
  <c r="C29" i="6"/>
  <c r="C30" i="6"/>
  <c r="C31" i="6"/>
  <c r="C32" i="6"/>
  <c r="C33" i="6"/>
  <c r="C34" i="6"/>
  <c r="C35" i="6"/>
  <c r="C36" i="6"/>
  <c r="C37" i="6"/>
  <c r="C38" i="6"/>
  <c r="C39" i="6"/>
  <c r="C40" i="6"/>
  <c r="C11" i="6"/>
  <c r="B21" i="6" l="1"/>
  <c r="L5" i="15"/>
  <c r="H5" i="15"/>
  <c r="I5" i="15"/>
  <c r="D5" i="15"/>
  <c r="J5" i="15"/>
  <c r="G5" i="15"/>
  <c r="F5" i="15"/>
  <c r="M5" i="15"/>
  <c r="N5" i="15"/>
  <c r="H9" i="15" l="1"/>
  <c r="G8" i="15"/>
  <c r="I9" i="15"/>
  <c r="M7" i="15"/>
  <c r="H8" i="15"/>
  <c r="H7" i="15"/>
  <c r="F8" i="15"/>
  <c r="M9" i="15"/>
  <c r="D6" i="15"/>
  <c r="G9" i="15"/>
  <c r="I8" i="15"/>
  <c r="J9" i="15"/>
  <c r="G6" i="15"/>
  <c r="I6" i="15"/>
  <c r="J7" i="15"/>
  <c r="D7" i="15"/>
  <c r="J6" i="15"/>
  <c r="I7" i="15"/>
  <c r="N9" i="15"/>
  <c r="F7" i="15"/>
  <c r="M6" i="15"/>
  <c r="F9" i="15"/>
  <c r="M8" i="15"/>
  <c r="N6" i="15"/>
  <c r="D9" i="15"/>
  <c r="L6" i="15"/>
  <c r="J8" i="15"/>
  <c r="L9" i="15"/>
  <c r="L8" i="15"/>
  <c r="D8" i="15"/>
  <c r="F6" i="15"/>
  <c r="L7" i="15"/>
  <c r="G7" i="15"/>
  <c r="N8" i="15"/>
  <c r="N7" i="15"/>
  <c r="H6" i="15"/>
  <c r="N48" i="15"/>
  <c r="D48" i="15"/>
  <c r="H46" i="15"/>
  <c r="J46" i="15"/>
  <c r="I44" i="15"/>
  <c r="D44" i="15"/>
  <c r="I42" i="15"/>
  <c r="D42" i="15"/>
  <c r="I40" i="15"/>
  <c r="F40" i="15"/>
  <c r="I38" i="15"/>
  <c r="J38" i="15"/>
  <c r="I36" i="15"/>
  <c r="D36" i="15"/>
  <c r="I34" i="15"/>
  <c r="D34" i="15"/>
  <c r="I32" i="15"/>
  <c r="F32" i="15"/>
  <c r="I30" i="15"/>
  <c r="L30" i="15"/>
  <c r="I28" i="15"/>
  <c r="D28" i="15"/>
  <c r="I26" i="15"/>
  <c r="D26" i="15"/>
  <c r="I24" i="15"/>
  <c r="F24" i="15"/>
  <c r="I22" i="15"/>
  <c r="L22" i="15"/>
  <c r="I20" i="15"/>
  <c r="D20" i="15"/>
  <c r="I18" i="15"/>
  <c r="D18" i="15"/>
  <c r="I16" i="15"/>
  <c r="F16" i="15"/>
  <c r="I14" i="15"/>
  <c r="L14" i="15"/>
  <c r="I12" i="15"/>
  <c r="D12" i="15"/>
  <c r="I10" i="15"/>
  <c r="D10" i="15"/>
  <c r="N47" i="15"/>
  <c r="F47" i="15"/>
  <c r="N45" i="15"/>
  <c r="M45" i="15"/>
  <c r="H45" i="15"/>
  <c r="N43" i="15"/>
  <c r="G43" i="15"/>
  <c r="N41" i="15"/>
  <c r="I41" i="15"/>
  <c r="H41" i="15"/>
  <c r="N39" i="15"/>
  <c r="I39" i="15"/>
  <c r="N37" i="15"/>
  <c r="M37" i="15"/>
  <c r="H37" i="15"/>
  <c r="N35" i="15"/>
  <c r="G35" i="15"/>
  <c r="F35" i="15"/>
  <c r="N33" i="15"/>
  <c r="I33" i="15"/>
  <c r="H33" i="15"/>
  <c r="N31" i="15"/>
  <c r="M48" i="15"/>
  <c r="J48" i="15"/>
  <c r="I48" i="15"/>
  <c r="M46" i="15"/>
  <c r="F46" i="15"/>
  <c r="G46" i="15"/>
  <c r="M44" i="15"/>
  <c r="J44" i="15"/>
  <c r="N44" i="15"/>
  <c r="M42" i="15"/>
  <c r="L42" i="15"/>
  <c r="G42" i="15"/>
  <c r="M40" i="15"/>
  <c r="N40" i="15"/>
  <c r="D40" i="15"/>
  <c r="M38" i="15"/>
  <c r="H38" i="15"/>
  <c r="G38" i="15"/>
  <c r="M36" i="15"/>
  <c r="J36" i="15"/>
  <c r="N36" i="15"/>
  <c r="M34" i="15"/>
  <c r="L34" i="15"/>
  <c r="G34" i="15"/>
  <c r="M32" i="15"/>
  <c r="N32" i="15"/>
  <c r="D32" i="15"/>
  <c r="M30" i="15"/>
  <c r="H30" i="15"/>
  <c r="J30" i="15"/>
  <c r="M28" i="15"/>
  <c r="J28" i="15"/>
  <c r="N28" i="15"/>
  <c r="M26" i="15"/>
  <c r="L26" i="15"/>
  <c r="G26" i="15"/>
  <c r="M24" i="15"/>
  <c r="N24" i="15"/>
  <c r="D24" i="15"/>
  <c r="M22" i="15"/>
  <c r="H22" i="15"/>
  <c r="J22" i="15"/>
  <c r="M20" i="15"/>
  <c r="J20" i="15"/>
  <c r="N20" i="15"/>
  <c r="M18" i="15"/>
  <c r="L18" i="15"/>
  <c r="G18" i="15"/>
  <c r="M16" i="15"/>
  <c r="N16" i="15"/>
  <c r="D16" i="15"/>
  <c r="M14" i="15"/>
  <c r="H14" i="15"/>
  <c r="J14" i="15"/>
  <c r="M12" i="15"/>
  <c r="J12" i="15"/>
  <c r="N12" i="15"/>
  <c r="M10" i="15"/>
  <c r="L10" i="15"/>
  <c r="G10" i="15"/>
  <c r="L47" i="15"/>
  <c r="I47" i="15"/>
  <c r="H47" i="15"/>
  <c r="L45" i="15"/>
  <c r="I45" i="15"/>
  <c r="D45" i="15"/>
  <c r="L43" i="15"/>
  <c r="H43" i="15"/>
  <c r="L41" i="15"/>
  <c r="G41" i="15"/>
  <c r="D41" i="15"/>
  <c r="L39" i="15"/>
  <c r="G39" i="15"/>
  <c r="H39" i="15"/>
  <c r="L37" i="15"/>
  <c r="I37" i="15"/>
  <c r="D37" i="15"/>
  <c r="L35" i="15"/>
  <c r="H35" i="15"/>
  <c r="L48" i="15"/>
  <c r="H48" i="15"/>
  <c r="D46" i="15"/>
  <c r="I46" i="15"/>
  <c r="H44" i="15"/>
  <c r="H42" i="15"/>
  <c r="J42" i="15"/>
  <c r="J40" i="15"/>
  <c r="F38" i="15"/>
  <c r="L38" i="15"/>
  <c r="H36" i="15"/>
  <c r="H34" i="15"/>
  <c r="J34" i="15"/>
  <c r="J32" i="15"/>
  <c r="F30" i="15"/>
  <c r="G30" i="15"/>
  <c r="H28" i="15"/>
  <c r="L46" i="15"/>
  <c r="G44" i="15"/>
  <c r="L40" i="15"/>
  <c r="D38" i="15"/>
  <c r="G36" i="15"/>
  <c r="L32" i="15"/>
  <c r="D30" i="15"/>
  <c r="G28" i="15"/>
  <c r="F26" i="15"/>
  <c r="L24" i="15"/>
  <c r="G24" i="15"/>
  <c r="D22" i="15"/>
  <c r="L20" i="15"/>
  <c r="G20" i="15"/>
  <c r="F18" i="15"/>
  <c r="L16" i="15"/>
  <c r="G16" i="15"/>
  <c r="D14" i="15"/>
  <c r="L12" i="15"/>
  <c r="G12" i="15"/>
  <c r="F10" i="15"/>
  <c r="J47" i="15"/>
  <c r="J43" i="15"/>
  <c r="M41" i="15"/>
  <c r="J39" i="15"/>
  <c r="J35" i="15"/>
  <c r="G33" i="15"/>
  <c r="F33" i="15"/>
  <c r="J31" i="15"/>
  <c r="F31" i="15"/>
  <c r="J29" i="15"/>
  <c r="J27" i="15"/>
  <c r="F27" i="15"/>
  <c r="J25" i="15"/>
  <c r="M25" i="15"/>
  <c r="J23" i="15"/>
  <c r="F23" i="15"/>
  <c r="J21" i="15"/>
  <c r="J19" i="15"/>
  <c r="I19" i="15"/>
  <c r="J17" i="15"/>
  <c r="M17" i="15"/>
  <c r="J15" i="15"/>
  <c r="F15" i="15"/>
  <c r="J13" i="15"/>
  <c r="J11" i="15"/>
  <c r="F11" i="15"/>
  <c r="M29" i="15"/>
  <c r="N27" i="15"/>
  <c r="N25" i="15"/>
  <c r="H25" i="15"/>
  <c r="N23" i="15"/>
  <c r="I23" i="15"/>
  <c r="M21" i="15"/>
  <c r="H21" i="15"/>
  <c r="G19" i="15"/>
  <c r="F19" i="15"/>
  <c r="I17" i="15"/>
  <c r="N15" i="15"/>
  <c r="N13" i="15"/>
  <c r="M13" i="15"/>
  <c r="N11" i="15"/>
  <c r="G11" i="15"/>
  <c r="L44" i="15"/>
  <c r="G40" i="15"/>
  <c r="L36" i="15"/>
  <c r="F34" i="15"/>
  <c r="G32" i="15"/>
  <c r="L28" i="15"/>
  <c r="N26" i="15"/>
  <c r="H24" i="15"/>
  <c r="N22" i="15"/>
  <c r="F20" i="15"/>
  <c r="N18" i="15"/>
  <c r="H16" i="15"/>
  <c r="N14" i="15"/>
  <c r="F12" i="15"/>
  <c r="N10" i="15"/>
  <c r="J45" i="15"/>
  <c r="F43" i="15"/>
  <c r="J41" i="15"/>
  <c r="F39" i="15"/>
  <c r="J37" i="15"/>
  <c r="I35" i="15"/>
  <c r="M33" i="15"/>
  <c r="L31" i="15"/>
  <c r="H31" i="15"/>
  <c r="L29" i="15"/>
  <c r="I29" i="15"/>
  <c r="D29" i="15"/>
  <c r="L27" i="15"/>
  <c r="L25" i="15"/>
  <c r="G25" i="15"/>
  <c r="L23" i="15"/>
  <c r="H23" i="15"/>
  <c r="L21" i="15"/>
  <c r="D21" i="15"/>
  <c r="H19" i="15"/>
  <c r="G17" i="15"/>
  <c r="L15" i="15"/>
  <c r="H15" i="15"/>
  <c r="I13" i="15"/>
  <c r="L11" i="15"/>
  <c r="H11" i="15"/>
  <c r="N46" i="15"/>
  <c r="F36" i="15"/>
  <c r="N30" i="15"/>
  <c r="F22" i="15"/>
  <c r="F14" i="15"/>
  <c r="H10" i="15"/>
  <c r="G45" i="15"/>
  <c r="M39" i="15"/>
  <c r="M35" i="15"/>
  <c r="D33" i="15"/>
  <c r="D31" i="15"/>
  <c r="F29" i="15"/>
  <c r="I27" i="15"/>
  <c r="G21" i="15"/>
  <c r="G13" i="15"/>
  <c r="F48" i="15"/>
  <c r="N42" i="15"/>
  <c r="H40" i="15"/>
  <c r="N34" i="15"/>
  <c r="H32" i="15"/>
  <c r="J26" i="15"/>
  <c r="J24" i="15"/>
  <c r="G22" i="15"/>
  <c r="H20" i="15"/>
  <c r="J18" i="15"/>
  <c r="J16" i="15"/>
  <c r="G14" i="15"/>
  <c r="H12" i="15"/>
  <c r="J10" i="15"/>
  <c r="G47" i="15"/>
  <c r="F45" i="15"/>
  <c r="I43" i="15"/>
  <c r="F41" i="15"/>
  <c r="F37" i="15"/>
  <c r="L33" i="15"/>
  <c r="I31" i="15"/>
  <c r="N29" i="15"/>
  <c r="H29" i="15"/>
  <c r="G27" i="15"/>
  <c r="I25" i="15"/>
  <c r="N21" i="15"/>
  <c r="N19" i="15"/>
  <c r="N17" i="15"/>
  <c r="H17" i="15"/>
  <c r="I15" i="15"/>
  <c r="H13" i="15"/>
  <c r="G48" i="15"/>
  <c r="F42" i="15"/>
  <c r="G31" i="15"/>
  <c r="H27" i="15"/>
  <c r="D25" i="15"/>
  <c r="G23" i="15"/>
  <c r="I21" i="15"/>
  <c r="L19" i="15"/>
  <c r="L17" i="15"/>
  <c r="D17" i="15"/>
  <c r="G15" i="15"/>
  <c r="L13" i="15"/>
  <c r="D13" i="15"/>
  <c r="F44" i="15"/>
  <c r="N38" i="15"/>
  <c r="F28" i="15"/>
  <c r="M47" i="15"/>
  <c r="M43" i="15"/>
  <c r="J33" i="15"/>
  <c r="M27" i="15"/>
  <c r="M23" i="15"/>
  <c r="M19" i="15"/>
  <c r="M15" i="15"/>
  <c r="D15" i="15"/>
  <c r="H26" i="15"/>
  <c r="H18" i="15"/>
  <c r="D47" i="15"/>
  <c r="D43" i="15"/>
  <c r="D39" i="15"/>
  <c r="G37" i="15"/>
  <c r="D35" i="15"/>
  <c r="M31" i="15"/>
  <c r="G29" i="15"/>
  <c r="D27" i="15"/>
  <c r="F25" i="15"/>
  <c r="D23" i="15"/>
  <c r="F21" i="15"/>
  <c r="D19" i="15"/>
  <c r="F17" i="15"/>
  <c r="M11" i="15"/>
  <c r="I11" i="15"/>
  <c r="F13" i="15"/>
  <c r="D11" i="15"/>
  <c r="K6" i="15" l="1"/>
  <c r="C22" i="15" l="1"/>
  <c r="C27" i="15"/>
  <c r="C48" i="15"/>
  <c r="C35" i="15"/>
  <c r="C15" i="15"/>
  <c r="C20" i="15"/>
  <c r="C10" i="15"/>
  <c r="C46" i="15"/>
  <c r="C36" i="15"/>
  <c r="C32" i="15"/>
  <c r="C30" i="15"/>
  <c r="C28" i="15"/>
  <c r="C26" i="15"/>
  <c r="K5" i="15"/>
  <c r="C19" i="15"/>
  <c r="C12" i="15"/>
  <c r="C34" i="15"/>
  <c r="C21" i="15"/>
  <c r="C16" i="15"/>
  <c r="C47" i="15"/>
  <c r="C45" i="15"/>
  <c r="C44" i="15"/>
  <c r="C40" i="15"/>
  <c r="C37" i="15"/>
  <c r="C14" i="15"/>
  <c r="K9" i="15"/>
  <c r="K8" i="15"/>
  <c r="K7" i="15"/>
  <c r="C8" i="15"/>
  <c r="C7" i="15"/>
  <c r="C6" i="15"/>
  <c r="E5" i="15"/>
  <c r="E9" i="15"/>
  <c r="E8" i="15"/>
  <c r="E6" i="15"/>
  <c r="C41" i="15"/>
  <c r="C33" i="15"/>
  <c r="C25" i="15"/>
  <c r="C17" i="15"/>
  <c r="C9" i="15"/>
  <c r="C13" i="15"/>
  <c r="C38" i="15"/>
  <c r="C11" i="15"/>
  <c r="C43" i="15"/>
  <c r="C29" i="15"/>
  <c r="C24" i="15"/>
  <c r="C31" i="15"/>
  <c r="C39" i="15"/>
  <c r="C42" i="15"/>
  <c r="C18" i="15"/>
  <c r="C23" i="15"/>
  <c r="K42" i="15"/>
  <c r="K34" i="15"/>
  <c r="K48" i="15"/>
  <c r="K15" i="15"/>
  <c r="K33" i="15"/>
  <c r="K14" i="15"/>
  <c r="K37" i="15"/>
  <c r="K23" i="15"/>
  <c r="K28" i="15"/>
  <c r="K18" i="15"/>
  <c r="K25" i="15"/>
  <c r="K17" i="15"/>
  <c r="K24" i="15"/>
  <c r="K11" i="15"/>
  <c r="K21" i="15"/>
  <c r="K43" i="15"/>
  <c r="K44" i="15"/>
  <c r="K36" i="15"/>
  <c r="K27" i="15"/>
  <c r="K20" i="15"/>
  <c r="K41" i="15"/>
  <c r="K40" i="15"/>
  <c r="K32" i="15"/>
  <c r="K19" i="15"/>
  <c r="K26" i="15"/>
  <c r="K29" i="15"/>
  <c r="K47" i="15"/>
  <c r="K39" i="15"/>
  <c r="K46" i="15"/>
  <c r="K38" i="15"/>
  <c r="K30" i="15"/>
  <c r="K16" i="15"/>
  <c r="K22" i="15"/>
  <c r="K45" i="15"/>
  <c r="K35" i="15"/>
  <c r="K31" i="15"/>
  <c r="K12" i="15"/>
  <c r="K10" i="15"/>
  <c r="C5" i="15"/>
  <c r="K13" i="15" l="1"/>
  <c r="E7" i="15"/>
  <c r="E45" i="15"/>
  <c r="E26" i="15"/>
  <c r="E10" i="15"/>
  <c r="E27" i="15"/>
  <c r="E42" i="15"/>
  <c r="E25" i="15"/>
  <c r="E17" i="15"/>
  <c r="E46" i="15"/>
  <c r="E33" i="15"/>
  <c r="E34" i="15"/>
  <c r="E16" i="15"/>
  <c r="E41" i="15"/>
  <c r="E40" i="15"/>
  <c r="E23" i="15"/>
  <c r="E15" i="15"/>
  <c r="E11" i="15"/>
  <c r="E12" i="15"/>
  <c r="E44" i="15"/>
  <c r="E29" i="15"/>
  <c r="E13" i="15"/>
  <c r="E19" i="15"/>
  <c r="E38" i="15"/>
  <c r="E20" i="15"/>
  <c r="E43" i="15"/>
  <c r="E35" i="15"/>
  <c r="E48" i="15"/>
  <c r="E32" i="15"/>
  <c r="E14" i="15"/>
  <c r="E36" i="15"/>
  <c r="E28" i="15"/>
  <c r="E21" i="15"/>
  <c r="E22" i="15"/>
  <c r="E39" i="15"/>
  <c r="E37" i="15"/>
  <c r="E18" i="15"/>
  <c r="E47" i="15"/>
  <c r="E30" i="15"/>
  <c r="E24" i="15"/>
  <c r="E31" i="15"/>
  <c r="AM60" i="1" l="1"/>
  <c r="AM59" i="1"/>
  <c r="AM58" i="1"/>
  <c r="AM57" i="1"/>
  <c r="AM56" i="1"/>
  <c r="AM55" i="1"/>
  <c r="AM54" i="1"/>
  <c r="AM53" i="1"/>
  <c r="AM52" i="1"/>
  <c r="AM51" i="1"/>
  <c r="AM50" i="1"/>
  <c r="AM49" i="1"/>
  <c r="AM48" i="1"/>
  <c r="AM47" i="1"/>
  <c r="AM46" i="1"/>
  <c r="AM45" i="1"/>
  <c r="AM44" i="1"/>
  <c r="AM43" i="1"/>
  <c r="AM42" i="1"/>
  <c r="AM41" i="1"/>
  <c r="AM40" i="1"/>
  <c r="AM39" i="1"/>
  <c r="AM38" i="1"/>
  <c r="AM37" i="1"/>
  <c r="AM36" i="1"/>
  <c r="AM35" i="1"/>
  <c r="AM34" i="1"/>
  <c r="AM33" i="1"/>
  <c r="AM32" i="1"/>
  <c r="AM31" i="1"/>
  <c r="AM30" i="1"/>
  <c r="AM29" i="1"/>
  <c r="AM28" i="1"/>
  <c r="AM27" i="1"/>
  <c r="AM26" i="1"/>
  <c r="AM25" i="1"/>
  <c r="AM24" i="1"/>
  <c r="AM23" i="1"/>
  <c r="AM22" i="1"/>
  <c r="AM21" i="1"/>
  <c r="AM20" i="1"/>
  <c r="AM19" i="1"/>
  <c r="AM18" i="1"/>
  <c r="AM17" i="1"/>
  <c r="AM15" i="1"/>
  <c r="AM14" i="1"/>
  <c r="AM13" i="1"/>
  <c r="AM12" i="1"/>
  <c r="AM11" i="1"/>
  <c r="AM10" i="1"/>
  <c r="AM9" i="1"/>
  <c r="AM8" i="1"/>
  <c r="AM7" i="1"/>
  <c r="L9" i="2" l="1"/>
  <c r="E11" i="6" s="1"/>
  <c r="I9" i="2"/>
  <c r="BA9" i="2" l="1"/>
  <c r="H11" i="6"/>
  <c r="B12" i="6"/>
</calcChain>
</file>

<file path=xl/sharedStrings.xml><?xml version="1.0" encoding="utf-8"?>
<sst xmlns="http://schemas.openxmlformats.org/spreadsheetml/2006/main" count="394" uniqueCount="235">
  <si>
    <t>Total</t>
  </si>
  <si>
    <t>Reg No.</t>
  </si>
  <si>
    <t>Student Name</t>
  </si>
  <si>
    <t>Degree</t>
  </si>
  <si>
    <t>Sr. No</t>
  </si>
  <si>
    <t>BEEE</t>
  </si>
  <si>
    <t>TEST CASE</t>
  </si>
  <si>
    <t>Data Structures</t>
  </si>
  <si>
    <t>Muhammad Rahmat Ullah Khan</t>
  </si>
  <si>
    <t>Muhammad Ahmad</t>
  </si>
  <si>
    <t>Muhammad Amir Muavia</t>
  </si>
  <si>
    <t>Waqas Khan</t>
  </si>
  <si>
    <t>Fahim Amanat</t>
  </si>
  <si>
    <t>Gul Mena</t>
  </si>
  <si>
    <t>Gulrukh Khan</t>
  </si>
  <si>
    <t>Adnan Hannan</t>
  </si>
  <si>
    <t>Junaid Ali</t>
  </si>
  <si>
    <t>Syed Mashood Shah</t>
  </si>
  <si>
    <t>Muhammad Usman</t>
  </si>
  <si>
    <t>Muhammad Shahzaib Baig</t>
  </si>
  <si>
    <t>Basit Nawaz</t>
  </si>
  <si>
    <t>Zeeshan Rauf</t>
  </si>
  <si>
    <t>Saad Jamil</t>
  </si>
  <si>
    <t>Muhammad Rameez Jameel</t>
  </si>
  <si>
    <t>Muhammad Adnan Hassan</t>
  </si>
  <si>
    <t>Owais</t>
  </si>
  <si>
    <t>Qumzah Muqadsa Habib</t>
  </si>
  <si>
    <t>Muhammad Irfan Gul</t>
  </si>
  <si>
    <t>Abdullah Umar</t>
  </si>
  <si>
    <t>Abrar Khan</t>
  </si>
  <si>
    <t>Syed Amir Jaffer</t>
  </si>
  <si>
    <t>Syed Shah Asad</t>
  </si>
  <si>
    <t>Sajid Rehman</t>
  </si>
  <si>
    <t>Mohsin Ai</t>
  </si>
  <si>
    <t>Bilal Sheikh</t>
  </si>
  <si>
    <t>Muhammad Kashif</t>
  </si>
  <si>
    <t>Farhan Ali</t>
  </si>
  <si>
    <t>Qazi Khurram Habib</t>
  </si>
  <si>
    <t>Adnan Rafiq</t>
  </si>
  <si>
    <t>Maria Zubairy</t>
  </si>
  <si>
    <t>Inam ul Hassan</t>
  </si>
  <si>
    <t>Mohsin Ahmed</t>
  </si>
  <si>
    <t>Muhammad Yasir</t>
  </si>
  <si>
    <t>Ibrahim</t>
  </si>
  <si>
    <t>Muhammad Umar Farooq</t>
  </si>
  <si>
    <t>Azam Jan</t>
  </si>
  <si>
    <t>Syed Kamil Raza</t>
  </si>
  <si>
    <t>Muhammad Taha Iqbal</t>
  </si>
  <si>
    <t xml:space="preserve"> Ahmad Riaz</t>
  </si>
  <si>
    <t>Umer Khitab</t>
  </si>
  <si>
    <t>Hussain Muhammad Abdullah</t>
  </si>
  <si>
    <t>Muhammad Haroon Amin</t>
  </si>
  <si>
    <t>Khalid Iqbal</t>
  </si>
  <si>
    <t>Muhammad Saqlain Asad</t>
  </si>
  <si>
    <t>Zariq Khan Sawati</t>
  </si>
  <si>
    <t>Wafa Yousaf Mir</t>
  </si>
  <si>
    <t>Rizwan Ullah</t>
  </si>
  <si>
    <t>Zaryab Mumtaz Khan</t>
  </si>
  <si>
    <t>Adnan Ahmad</t>
  </si>
  <si>
    <t>Samin Kainat</t>
  </si>
  <si>
    <t>Week 1</t>
  </si>
  <si>
    <t>Week 2</t>
  </si>
  <si>
    <t>Week 3</t>
  </si>
  <si>
    <t>Week 4</t>
  </si>
  <si>
    <t>Week 5</t>
  </si>
  <si>
    <t>Week 6</t>
  </si>
  <si>
    <t>Week 7</t>
  </si>
  <si>
    <t>Week 8</t>
  </si>
  <si>
    <t>Week 9</t>
  </si>
  <si>
    <t>Week 10</t>
  </si>
  <si>
    <t>Week 11</t>
  </si>
  <si>
    <t>Week 12</t>
  </si>
  <si>
    <t>Week 13</t>
  </si>
  <si>
    <t>Week 14</t>
  </si>
  <si>
    <t>Week 15</t>
  </si>
  <si>
    <t>Week 16</t>
  </si>
  <si>
    <t>Lec  1</t>
  </si>
  <si>
    <t>Lec  2</t>
  </si>
  <si>
    <t>Lec  3</t>
  </si>
  <si>
    <t>Lec  4</t>
  </si>
  <si>
    <t>Lec  5</t>
  </si>
  <si>
    <t>Lec  6</t>
  </si>
  <si>
    <t>Lec 7</t>
  </si>
  <si>
    <t>Lec  8</t>
  </si>
  <si>
    <t>Lec 11</t>
  </si>
  <si>
    <t>Lec 12</t>
  </si>
  <si>
    <t>Lec 13</t>
  </si>
  <si>
    <t>Lec 14</t>
  </si>
  <si>
    <t>Lec 15</t>
  </si>
  <si>
    <t>Lec 16</t>
  </si>
  <si>
    <t>Lec 17</t>
  </si>
  <si>
    <t xml:space="preserve">Attendance </t>
  </si>
  <si>
    <t>Lec 1</t>
  </si>
  <si>
    <t>Aizaz Ahmad</t>
  </si>
  <si>
    <t>p</t>
  </si>
  <si>
    <t>Lec 18</t>
  </si>
  <si>
    <r>
      <t>Spring 2012 -  Attendace</t>
    </r>
    <r>
      <rPr>
        <sz val="14"/>
        <rFont val="Calibri"/>
        <family val="2"/>
      </rPr>
      <t>[Updated: 18 Sept 2012]</t>
    </r>
  </si>
  <si>
    <t>Mirza Mudasar Jilanai</t>
  </si>
  <si>
    <t>Mid I</t>
  </si>
  <si>
    <t>Final</t>
  </si>
  <si>
    <t>Midterm</t>
  </si>
  <si>
    <t>Roll No.</t>
  </si>
  <si>
    <t>S. No.</t>
  </si>
  <si>
    <t>Abbreviations Used and Related Description</t>
  </si>
  <si>
    <t>Abbreviation</t>
  </si>
  <si>
    <t>Description</t>
  </si>
  <si>
    <t>Course Learning Outcome number n</t>
  </si>
  <si>
    <t>Lab</t>
  </si>
  <si>
    <t>Sr. No.</t>
  </si>
  <si>
    <t>PLO 1</t>
  </si>
  <si>
    <t>PLO 4</t>
  </si>
  <si>
    <t>PLO 5</t>
  </si>
  <si>
    <t>PLO 6</t>
  </si>
  <si>
    <t>PLO 7</t>
  </si>
  <si>
    <t>PLO 8</t>
  </si>
  <si>
    <t>PLO 10</t>
  </si>
  <si>
    <t>PLO 11</t>
  </si>
  <si>
    <t>PLO 12</t>
  </si>
  <si>
    <t>PLO 2</t>
  </si>
  <si>
    <t>PLO 3</t>
  </si>
  <si>
    <t>PLO 9</t>
  </si>
  <si>
    <t>Course Learning Outcomes (CLOs):</t>
  </si>
  <si>
    <t>Upon completion of the course, the student should be able to do the following:</t>
  </si>
  <si>
    <t xml:space="preserve">Course Objectives and Description: </t>
  </si>
  <si>
    <t>CLO n</t>
  </si>
  <si>
    <t>The objective of this course is to familiarize the student with</t>
  </si>
  <si>
    <t>Balochistan University of Engineering and Technology Khuzdar</t>
  </si>
  <si>
    <t>COMPUTER SYSTEMS ENGINEERING AND SCIENCES DEPARTMENT</t>
  </si>
  <si>
    <t>Session: Spring 2020</t>
  </si>
  <si>
    <t>Exams (Theory)</t>
  </si>
  <si>
    <t>Lab (Final Examination)</t>
  </si>
  <si>
    <t>Lab (Semester Work)</t>
  </si>
  <si>
    <t>No of CLOS (TH)</t>
  </si>
  <si>
    <t>No of CLOS (Lab)</t>
  </si>
  <si>
    <t xml:space="preserve">Total CLOs </t>
  </si>
  <si>
    <t>S.No</t>
  </si>
  <si>
    <t>CLO No</t>
  </si>
  <si>
    <t>Domain</t>
  </si>
  <si>
    <t>Linked PLO</t>
  </si>
  <si>
    <t xml:space="preserve">Sessional </t>
  </si>
  <si>
    <t xml:space="preserve">Total Marks CLOs </t>
  </si>
  <si>
    <t>Marks Distribution (Theory CLOs)</t>
  </si>
  <si>
    <t xml:space="preserve">CLO No </t>
  </si>
  <si>
    <t>Marks Distribution (Lab CLOs)</t>
  </si>
  <si>
    <t>Total Marks CLOs</t>
  </si>
  <si>
    <t>Semester Work</t>
  </si>
  <si>
    <t>Total Marks All Theory CLOs</t>
  </si>
  <si>
    <t>Total Marks All Lab CLOs</t>
  </si>
  <si>
    <t>Grand Total</t>
  </si>
  <si>
    <t>Kindly check that the value is 100 otherwise adjust your marks</t>
  </si>
  <si>
    <t xml:space="preserve">  Overall Total</t>
  </si>
  <si>
    <t>ATT</t>
  </si>
  <si>
    <t>Att</t>
  </si>
  <si>
    <t>%</t>
  </si>
  <si>
    <t>Examsheet</t>
  </si>
  <si>
    <t>Dept: Computer  Systems Engg.</t>
  </si>
  <si>
    <t xml:space="preserve">Semester        </t>
  </si>
  <si>
    <t>Batch:</t>
  </si>
  <si>
    <t>Semester:</t>
  </si>
  <si>
    <t>Overall LAB (Total)</t>
  </si>
  <si>
    <t xml:space="preserve">Mid Term Exam.       </t>
  </si>
  <si>
    <t xml:space="preserve">Total
</t>
  </si>
  <si>
    <t>Course Enrolment NO</t>
  </si>
  <si>
    <t>This is the  number provided in traditional award list</t>
  </si>
  <si>
    <t>NA</t>
  </si>
  <si>
    <t xml:space="preserve">Not Applicable </t>
  </si>
  <si>
    <t>CLO Attainment (50% required to achieve a CLO) Green Color/ Not achieved Red Color</t>
  </si>
  <si>
    <t>Domain with level from Bloom's Taxonomy e.g C3 indicates Cognative level 3</t>
  </si>
  <si>
    <t>No of Students Registered:</t>
  </si>
  <si>
    <t>CLO is achieved by a student in complete Semester including all modules</t>
  </si>
  <si>
    <t>CLO is not  achieved by a student in complete Semester including all modules</t>
  </si>
  <si>
    <t>COHORT</t>
  </si>
  <si>
    <t>Class %age in Passing/Attaining a particular CLO</t>
  </si>
  <si>
    <t>Course Enrlolment No: 116</t>
  </si>
  <si>
    <t>Sessional Marks (Theory)</t>
  </si>
  <si>
    <t xml:space="preserve">Final
</t>
  </si>
  <si>
    <t>Midterm (for Lab Only)</t>
  </si>
  <si>
    <t>Lab (Midterm) for Lab Only Courses</t>
  </si>
  <si>
    <t xml:space="preserve">Modterm </t>
  </si>
  <si>
    <t>*Midterm Marks will work ony for Lab only Courses with no Theory involved</t>
  </si>
  <si>
    <t>*For all theory + lab courses, Semester work and Final will be of 10 marks each</t>
  </si>
  <si>
    <t>*This Outline Sheet is linked with all Sheets so fill it carefully</t>
  </si>
  <si>
    <t>* All Total Columns in Gradesheet are automated so don’t fill them</t>
  </si>
  <si>
    <t>OBE Implementation Grade Sheet Version-3</t>
  </si>
  <si>
    <t>B.E (CSE) 4thSemester</t>
  </si>
  <si>
    <t>Course Title: Signals and Systems</t>
  </si>
  <si>
    <t>Course Code: EE-224</t>
  </si>
  <si>
    <t>Credit Hours: 3+1</t>
  </si>
  <si>
    <t>Course Teacher: Dr.Wazir Muhammad</t>
  </si>
  <si>
    <t>18CS01</t>
  </si>
  <si>
    <t>18CS03</t>
  </si>
  <si>
    <t>18CS04</t>
  </si>
  <si>
    <t>18CS05</t>
  </si>
  <si>
    <t>18CS07</t>
  </si>
  <si>
    <t>18CS08</t>
  </si>
  <si>
    <t>18CS09</t>
  </si>
  <si>
    <t>18CS10</t>
  </si>
  <si>
    <t>18CS12</t>
  </si>
  <si>
    <t>18CS11</t>
  </si>
  <si>
    <t>18CS14</t>
  </si>
  <si>
    <t>18CS15</t>
  </si>
  <si>
    <t>18CS16</t>
  </si>
  <si>
    <t>18CS18</t>
  </si>
  <si>
    <t>18CS20</t>
  </si>
  <si>
    <t>18CS21</t>
  </si>
  <si>
    <t>18CS22</t>
  </si>
  <si>
    <t>18CS24</t>
  </si>
  <si>
    <t>18CS25</t>
  </si>
  <si>
    <t>18CS26</t>
  </si>
  <si>
    <t>18CS27</t>
  </si>
  <si>
    <t>18CS28</t>
  </si>
  <si>
    <t>18CS30</t>
  </si>
  <si>
    <t>18CS31</t>
  </si>
  <si>
    <t>18CS32</t>
  </si>
  <si>
    <t>18CS33</t>
  </si>
  <si>
    <t>18CS34</t>
  </si>
  <si>
    <t>18CS35</t>
  </si>
  <si>
    <t>18CS36</t>
  </si>
  <si>
    <t>18CS37</t>
  </si>
  <si>
    <t>18CS38</t>
  </si>
  <si>
    <t>18CS39</t>
  </si>
  <si>
    <t>18CS40</t>
  </si>
  <si>
    <t>18CS42</t>
  </si>
  <si>
    <t>18CS43</t>
  </si>
  <si>
    <t>18CS45</t>
  </si>
  <si>
    <t>18CS46</t>
  </si>
  <si>
    <t>18CS47</t>
  </si>
  <si>
    <t>17CS49</t>
  </si>
  <si>
    <t>16CS37</t>
  </si>
  <si>
    <t>16CS20</t>
  </si>
  <si>
    <t>15CS29</t>
  </si>
  <si>
    <t>Understanding the basic knowledge of signals and systems.</t>
  </si>
  <si>
    <t>Use of appropriate signal transformations for analysis in complex problems.</t>
  </si>
  <si>
    <t>Demonstrate ability to work effectively as an individual or in a team.</t>
  </si>
  <si>
    <t>Develop computer programs to implement different signal processing algorithms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</si>
</sst>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6" x14ac:knownFonts="1">
    <font>
      <sz val="11"/>
      <name val="Calibri"/>
    </font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sz val="11"/>
      <name val="Calibri"/>
      <family val="2"/>
    </font>
    <font>
      <b/>
      <sz val="16"/>
      <name val="Calibri"/>
      <family val="2"/>
    </font>
    <font>
      <b/>
      <sz val="14"/>
      <name val="Calibri"/>
      <family val="2"/>
    </font>
    <font>
      <b/>
      <sz val="11"/>
      <name val="Calibri"/>
      <family val="2"/>
    </font>
    <font>
      <b/>
      <sz val="12"/>
      <name val="Calibri"/>
      <family val="2"/>
    </font>
    <font>
      <sz val="11"/>
      <color rgb="FFFFFFFF"/>
      <name val="Calibri"/>
      <family val="2"/>
    </font>
    <font>
      <sz val="10"/>
      <name val="Calibri"/>
      <family val="2"/>
    </font>
    <font>
      <sz val="10"/>
      <color indexed="8"/>
      <name val="Calibri"/>
      <family val="2"/>
    </font>
    <font>
      <sz val="11"/>
      <color rgb="FF000000"/>
      <name val="Calibri"/>
      <family val="2"/>
    </font>
    <font>
      <b/>
      <sz val="11"/>
      <color rgb="FFFF0000"/>
      <name val="Calibri"/>
      <family val="2"/>
    </font>
    <font>
      <b/>
      <sz val="11"/>
      <color rgb="FF000000"/>
      <name val="Calibri"/>
      <family val="2"/>
    </font>
    <font>
      <b/>
      <sz val="11"/>
      <name val="Calibri"/>
      <family val="2"/>
    </font>
    <font>
      <sz val="11"/>
      <color rgb="FF1F4A7E"/>
      <name val="Calibri"/>
      <family val="2"/>
    </font>
    <font>
      <b/>
      <sz val="18"/>
      <color rgb="FF000000"/>
      <name val="Times New Roman"/>
      <family val="1"/>
    </font>
    <font>
      <b/>
      <sz val="14"/>
      <color rgb="FF000000"/>
      <name val="Times New Roman"/>
      <family val="1"/>
    </font>
    <font>
      <sz val="10"/>
      <color rgb="FF000000"/>
      <name val="Times New Roman"/>
      <family val="1"/>
    </font>
    <font>
      <b/>
      <sz val="10"/>
      <color rgb="FF000000"/>
      <name val="Times New Roman"/>
      <family val="1"/>
    </font>
    <font>
      <b/>
      <sz val="12"/>
      <color rgb="FF000000"/>
      <name val="Times New Roman"/>
      <family val="1"/>
    </font>
    <font>
      <b/>
      <sz val="11"/>
      <color rgb="FFFA7D00"/>
      <name val="Calibri"/>
      <family val="2"/>
    </font>
    <font>
      <sz val="11"/>
      <color rgb="FF9C0006"/>
      <name val="Calibri"/>
      <family val="2"/>
    </font>
    <font>
      <sz val="11"/>
      <color rgb="FF000000"/>
      <name val="Calibri"/>
      <family val="2"/>
    </font>
    <font>
      <sz val="11"/>
      <color rgb="FF006100"/>
      <name val="Calibri"/>
      <family val="2"/>
    </font>
    <font>
      <sz val="14"/>
      <name val="Calibri"/>
      <family val="2"/>
    </font>
    <font>
      <sz val="14"/>
      <color rgb="FF000000"/>
      <name val="Impact"/>
      <family val="2"/>
    </font>
    <font>
      <sz val="11"/>
      <color rgb="FF000000"/>
      <name val="Times New Roman"/>
      <family val="1"/>
    </font>
    <font>
      <b/>
      <sz val="14"/>
      <color rgb="FF000000"/>
      <name val="Times New Roman"/>
      <family val="1"/>
    </font>
    <font>
      <b/>
      <sz val="12"/>
      <color rgb="FF000000"/>
      <name val="Times New Roman"/>
      <family val="1"/>
    </font>
    <font>
      <b/>
      <sz val="11"/>
      <color rgb="FF000000"/>
      <name val="Times New Roman"/>
      <family val="1"/>
    </font>
    <font>
      <b/>
      <u/>
      <sz val="11"/>
      <color rgb="FF000000"/>
      <name val="Times New Roman"/>
      <family val="1"/>
    </font>
    <font>
      <b/>
      <sz val="10"/>
      <color rgb="FF000000"/>
      <name val="Times New Roman"/>
      <family val="1"/>
    </font>
    <font>
      <b/>
      <sz val="11"/>
      <color theme="2"/>
      <name val="Tahoma"/>
      <family val="2"/>
      <scheme val="minor"/>
    </font>
    <font>
      <sz val="9"/>
      <name val="Arial"/>
      <family val="2"/>
    </font>
    <font>
      <sz val="10"/>
      <name val="Arial"/>
      <family val="2"/>
    </font>
    <font>
      <sz val="10"/>
      <color indexed="8"/>
      <name val="Arial"/>
      <family val="2"/>
    </font>
    <font>
      <b/>
      <sz val="12"/>
      <color theme="2"/>
      <name val="Tahoma"/>
      <family val="2"/>
      <scheme val="minor"/>
    </font>
    <font>
      <sz val="12"/>
      <name val="Times New Roman"/>
      <family val="1"/>
    </font>
    <font>
      <b/>
      <sz val="12"/>
      <name val="Times New Roman"/>
      <family val="1"/>
    </font>
    <font>
      <b/>
      <sz val="16"/>
      <name val="Times New Roman"/>
      <family val="1"/>
    </font>
    <font>
      <sz val="12"/>
      <color rgb="FF000000"/>
      <name val="Times New Roman"/>
      <family val="1"/>
    </font>
    <font>
      <sz val="12"/>
      <name val="Calibri"/>
      <family val="2"/>
    </font>
    <font>
      <b/>
      <sz val="8"/>
      <color rgb="FF000000"/>
      <name val="Times New Roman"/>
      <family val="1"/>
    </font>
    <font>
      <b/>
      <sz val="12"/>
      <color rgb="FFFF0000"/>
      <name val="Times New Roman"/>
      <family val="1"/>
    </font>
    <font>
      <sz val="11"/>
      <name val="Calibri"/>
      <family val="2"/>
    </font>
    <font>
      <sz val="11"/>
      <color rgb="FFFF0000"/>
      <name val="Tahoma"/>
      <family val="2"/>
      <scheme val="minor"/>
    </font>
    <font>
      <sz val="12"/>
      <color rgb="FF000000"/>
      <name val="Tahoma"/>
      <family val="2"/>
      <scheme val="minor"/>
    </font>
    <font>
      <sz val="12"/>
      <name val="Tahoma"/>
      <family val="2"/>
      <scheme val="minor"/>
    </font>
    <font>
      <b/>
      <u/>
      <sz val="16"/>
      <color theme="5"/>
      <name val="Times New Roman"/>
      <family val="1"/>
    </font>
    <font>
      <b/>
      <sz val="12"/>
      <color theme="4"/>
      <name val="Times New Roman"/>
      <family val="1"/>
    </font>
    <font>
      <b/>
      <sz val="12"/>
      <color rgb="FF7030A0"/>
      <name val="Times New Roman"/>
      <family val="1"/>
    </font>
    <font>
      <b/>
      <sz val="18"/>
      <color rgb="FF00B050"/>
      <name val="Times New Roman"/>
      <family val="1"/>
    </font>
    <font>
      <b/>
      <sz val="12"/>
      <color rgb="FF000000"/>
      <name val="Calibri"/>
      <family val="2"/>
    </font>
    <font>
      <sz val="11"/>
      <color rgb="FF00B050"/>
      <name val="Tahoma"/>
      <family val="2"/>
      <scheme val="minor"/>
    </font>
    <font>
      <b/>
      <sz val="12"/>
      <color rgb="FFFF0000"/>
      <name val="Calibri"/>
      <family val="2"/>
    </font>
  </fonts>
  <fills count="35">
    <fill>
      <patternFill patternType="none"/>
    </fill>
    <fill>
      <patternFill patternType="gray125"/>
    </fill>
    <fill>
      <patternFill patternType="solid">
        <fgColor rgb="FFFDE9D9"/>
        <bgColor indexed="64"/>
      </patternFill>
    </fill>
    <fill>
      <patternFill patternType="solid">
        <fgColor rgb="FF3F3F3F"/>
        <bgColor indexed="64"/>
      </patternFill>
    </fill>
    <fill>
      <patternFill patternType="solid">
        <fgColor rgb="FFC4BD97"/>
        <bgColor indexed="64"/>
      </patternFill>
    </fill>
    <fill>
      <patternFill patternType="solid">
        <fgColor rgb="FFDDD9C3"/>
        <bgColor indexed="64"/>
      </patternFill>
    </fill>
    <fill>
      <patternFill patternType="solid">
        <fgColor rgb="FFFFC7CE"/>
      </patternFill>
    </fill>
    <fill>
      <patternFill patternType="solid">
        <fgColor rgb="FFCCFF99"/>
        <bgColor indexed="64"/>
      </patternFill>
    </fill>
    <fill>
      <patternFill patternType="solid">
        <fgColor rgb="FF5181BD"/>
      </patternFill>
    </fill>
    <fill>
      <patternFill patternType="solid">
        <fgColor rgb="FFC6EFCE"/>
      </patternFill>
    </fill>
    <fill>
      <patternFill patternType="solid">
        <fgColor rgb="FF96B3D7"/>
      </patternFill>
    </fill>
    <fill>
      <patternFill patternType="solid">
        <fgColor rgb="FFB7DDE8"/>
      </patternFill>
    </fill>
    <fill>
      <patternFill patternType="solid">
        <fgColor rgb="FFB9CCE4"/>
      </patternFill>
    </fill>
    <fill>
      <patternFill patternType="solid">
        <fgColor rgb="FFFFFF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2D69B"/>
        <bgColor indexed="64"/>
      </patternFill>
    </fill>
    <fill>
      <patternFill patternType="solid">
        <fgColor rgb="FFF2F2F2"/>
      </patternFill>
    </fill>
    <fill>
      <patternFill patternType="solid">
        <fgColor rgb="FFDCE5F1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599963377788628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3399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D9F33D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FF00"/>
        <bgColor indexed="64"/>
      </patternFill>
    </fill>
  </fills>
  <borders count="72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54">
    <xf numFmtId="0" fontId="0" fillId="0" borderId="0">
      <alignment vertical="center"/>
    </xf>
    <xf numFmtId="0" fontId="8" fillId="8" borderId="0">
      <protection locked="0"/>
    </xf>
    <xf numFmtId="0" fontId="21" fillId="16" borderId="63">
      <protection locked="0"/>
    </xf>
    <xf numFmtId="0" fontId="8" fillId="10" borderId="0">
      <protection locked="0"/>
    </xf>
    <xf numFmtId="0" fontId="22" fillId="6" borderId="0">
      <protection locked="0"/>
    </xf>
    <xf numFmtId="0" fontId="23" fillId="17" borderId="0">
      <protection locked="0"/>
    </xf>
    <xf numFmtId="0" fontId="24" fillId="9" borderId="0">
      <protection locked="0"/>
    </xf>
    <xf numFmtId="0" fontId="23" fillId="11" borderId="0">
      <protection locked="0"/>
    </xf>
    <xf numFmtId="0" fontId="23" fillId="12" borderId="0">
      <protection locked="0"/>
    </xf>
    <xf numFmtId="0" fontId="2" fillId="0" borderId="0"/>
    <xf numFmtId="9" fontId="2" fillId="0" borderId="0" applyFont="0" applyFill="0" applyBorder="0" applyAlignment="0" applyProtection="0"/>
    <xf numFmtId="0" fontId="34" fillId="0" borderId="0"/>
    <xf numFmtId="9" fontId="34" fillId="0" borderId="0" applyFont="0" applyFill="0" applyBorder="0" applyAlignment="0" applyProtection="0"/>
    <xf numFmtId="0" fontId="2" fillId="0" borderId="0"/>
    <xf numFmtId="0" fontId="35" fillId="0" borderId="0"/>
    <xf numFmtId="0" fontId="35" fillId="0" borderId="0"/>
    <xf numFmtId="0" fontId="36" fillId="0" borderId="0">
      <alignment vertical="top"/>
    </xf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6" fillId="0" borderId="0">
      <alignment vertical="top"/>
    </xf>
    <xf numFmtId="9" fontId="45" fillId="0" borderId="0" applyFont="0" applyFill="0" applyBorder="0" applyAlignment="0" applyProtection="0"/>
  </cellStyleXfs>
  <cellXfs count="308">
    <xf numFmtId="0" fontId="0" fillId="0" borderId="0" xfId="0">
      <alignment vertical="center"/>
    </xf>
    <xf numFmtId="0" fontId="3" fillId="0" borderId="0" xfId="0" applyFont="1" applyFill="1" applyAlignment="1">
      <alignment horizontal="center"/>
    </xf>
    <xf numFmtId="0" fontId="3" fillId="0" borderId="0" xfId="0" applyFont="1" applyFill="1" applyAlignment="1"/>
    <xf numFmtId="0" fontId="3" fillId="0" borderId="0" xfId="0" applyFont="1" applyFill="1" applyAlignment="1">
      <alignment horizontal="center" vertical="center"/>
    </xf>
    <xf numFmtId="0" fontId="3" fillId="0" borderId="0" xfId="0" applyFont="1" applyFill="1">
      <alignment vertical="center"/>
    </xf>
    <xf numFmtId="0" fontId="3" fillId="0" borderId="18" xfId="0" applyFont="1" applyFill="1" applyBorder="1" applyAlignment="1">
      <alignment horizontal="center" vertical="center"/>
    </xf>
    <xf numFmtId="0" fontId="3" fillId="0" borderId="0" xfId="0" applyFont="1" applyFill="1" applyBorder="1" applyAlignment="1"/>
    <xf numFmtId="0" fontId="3" fillId="0" borderId="0" xfId="0" applyFont="1" applyFill="1" applyBorder="1" applyAlignment="1"/>
    <xf numFmtId="0" fontId="3" fillId="0" borderId="23" xfId="0" applyFont="1" applyFill="1" applyBorder="1" applyAlignment="1"/>
    <xf numFmtId="0" fontId="3" fillId="0" borderId="24" xfId="0" applyFont="1" applyFill="1" applyBorder="1" applyAlignment="1"/>
    <xf numFmtId="0" fontId="3" fillId="0" borderId="27" xfId="0" applyFont="1" applyFill="1" applyBorder="1" applyAlignment="1"/>
    <xf numFmtId="0" fontId="3" fillId="0" borderId="28" xfId="0" applyFont="1" applyFill="1" applyBorder="1" applyAlignment="1"/>
    <xf numFmtId="0" fontId="3" fillId="0" borderId="29" xfId="0" applyFont="1" applyFill="1" applyBorder="1" applyAlignment="1"/>
    <xf numFmtId="0" fontId="3" fillId="0" borderId="25" xfId="0" applyFont="1" applyFill="1" applyBorder="1" applyAlignment="1"/>
    <xf numFmtId="0" fontId="3" fillId="0" borderId="3" xfId="0" applyFont="1" applyFill="1" applyBorder="1" applyAlignment="1">
      <alignment horizontal="center" vertical="center"/>
    </xf>
    <xf numFmtId="0" fontId="9" fillId="0" borderId="30" xfId="0" applyFont="1" applyFill="1" applyBorder="1" applyAlignment="1">
      <alignment horizontal="center" wrapText="1"/>
    </xf>
    <xf numFmtId="0" fontId="10" fillId="0" borderId="31" xfId="0" applyFont="1" applyFill="1" applyBorder="1" applyAlignment="1">
      <alignment horizontal="center" vertical="center"/>
    </xf>
    <xf numFmtId="0" fontId="11" fillId="0" borderId="18" xfId="0" applyNumberFormat="1" applyFont="1" applyBorder="1" applyAlignment="1" applyProtection="1">
      <alignment horizontal="center" vertical="center"/>
      <protection locked="0"/>
    </xf>
    <xf numFmtId="0" fontId="9" fillId="0" borderId="3" xfId="0" applyFont="1" applyFill="1" applyBorder="1" applyAlignment="1">
      <alignment horizontal="left" wrapText="1"/>
    </xf>
    <xf numFmtId="0" fontId="3" fillId="0" borderId="32" xfId="0" applyFont="1" applyFill="1" applyBorder="1" applyAlignment="1"/>
    <xf numFmtId="2" fontId="3" fillId="0" borderId="33" xfId="0" applyNumberFormat="1" applyFont="1" applyFill="1" applyBorder="1" applyAlignment="1"/>
    <xf numFmtId="0" fontId="3" fillId="0" borderId="33" xfId="0" applyFont="1" applyFill="1" applyBorder="1" applyAlignment="1"/>
    <xf numFmtId="0" fontId="3" fillId="3" borderId="33" xfId="0" applyFont="1" applyFill="1" applyBorder="1" applyAlignment="1"/>
    <xf numFmtId="0" fontId="3" fillId="0" borderId="34" xfId="0" applyFont="1" applyFill="1" applyBorder="1" applyAlignment="1"/>
    <xf numFmtId="0" fontId="3" fillId="0" borderId="35" xfId="0" applyFont="1" applyFill="1" applyBorder="1" applyAlignment="1"/>
    <xf numFmtId="0" fontId="3" fillId="0" borderId="10" xfId="0" applyFont="1" applyFill="1" applyBorder="1" applyAlignment="1">
      <alignment horizontal="center" vertical="center"/>
    </xf>
    <xf numFmtId="0" fontId="9" fillId="0" borderId="30" xfId="0" applyFont="1" applyFill="1" applyBorder="1" applyAlignment="1">
      <alignment horizontal="center" vertical="center"/>
    </xf>
    <xf numFmtId="0" fontId="11" fillId="0" borderId="36" xfId="0" applyNumberFormat="1" applyFont="1" applyBorder="1" applyAlignment="1" applyProtection="1">
      <alignment horizontal="center" vertical="center"/>
      <protection locked="0"/>
    </xf>
    <xf numFmtId="0" fontId="9" fillId="0" borderId="10" xfId="0" applyFont="1" applyFill="1" applyBorder="1" applyAlignment="1">
      <alignment horizontal="left" wrapText="1"/>
    </xf>
    <xf numFmtId="0" fontId="3" fillId="0" borderId="37" xfId="0" applyFont="1" applyFill="1" applyBorder="1" applyAlignment="1"/>
    <xf numFmtId="0" fontId="3" fillId="0" borderId="38" xfId="0" applyFont="1" applyFill="1" applyBorder="1" applyAlignment="1"/>
    <xf numFmtId="0" fontId="3" fillId="3" borderId="38" xfId="0" applyFont="1" applyFill="1" applyBorder="1" applyAlignment="1"/>
    <xf numFmtId="0" fontId="3" fillId="0" borderId="39" xfId="0" applyFont="1" applyFill="1" applyBorder="1" applyAlignment="1"/>
    <xf numFmtId="0" fontId="12" fillId="0" borderId="37" xfId="0" applyFont="1" applyFill="1" applyBorder="1" applyAlignment="1"/>
    <xf numFmtId="0" fontId="13" fillId="0" borderId="37" xfId="0" applyFont="1" applyFill="1" applyBorder="1" applyAlignment="1"/>
    <xf numFmtId="0" fontId="11" fillId="0" borderId="36" xfId="0" applyNumberFormat="1" applyFont="1" applyFill="1" applyBorder="1" applyAlignment="1" applyProtection="1">
      <alignment horizontal="center" vertical="center"/>
      <protection locked="0"/>
    </xf>
    <xf numFmtId="0" fontId="9" fillId="4" borderId="30" xfId="0" applyFont="1" applyFill="1" applyBorder="1" applyAlignment="1">
      <alignment horizontal="center" vertical="center"/>
    </xf>
    <xf numFmtId="0" fontId="11" fillId="4" borderId="36" xfId="0" applyNumberFormat="1" applyFont="1" applyFill="1" applyBorder="1" applyAlignment="1" applyProtection="1">
      <alignment horizontal="center" vertical="center"/>
      <protection locked="0"/>
    </xf>
    <xf numFmtId="0" fontId="9" fillId="4" borderId="10" xfId="0" applyFont="1" applyFill="1" applyBorder="1" applyAlignment="1">
      <alignment horizontal="left" wrapText="1"/>
    </xf>
    <xf numFmtId="0" fontId="3" fillId="0" borderId="38" xfId="0" applyFont="1" applyFill="1" applyBorder="1" applyAlignment="1">
      <alignment horizontal="center"/>
    </xf>
    <xf numFmtId="0" fontId="3" fillId="3" borderId="38" xfId="0" applyFont="1" applyFill="1" applyBorder="1" applyAlignment="1">
      <alignment horizontal="center"/>
    </xf>
    <xf numFmtId="2" fontId="3" fillId="0" borderId="39" xfId="0" applyNumberFormat="1" applyFont="1" applyFill="1" applyBorder="1" applyAlignment="1"/>
    <xf numFmtId="0" fontId="9" fillId="0" borderId="21" xfId="0" applyFont="1" applyFill="1" applyBorder="1" applyAlignment="1">
      <alignment horizontal="left" wrapText="1"/>
    </xf>
    <xf numFmtId="0" fontId="3" fillId="0" borderId="40" xfId="0" applyFont="1" applyFill="1" applyBorder="1" applyAlignment="1"/>
    <xf numFmtId="0" fontId="3" fillId="0" borderId="41" xfId="0" applyFont="1" applyFill="1" applyBorder="1" applyAlignment="1"/>
    <xf numFmtId="0" fontId="3" fillId="0" borderId="41" xfId="0" applyFont="1" applyFill="1" applyBorder="1" applyAlignment="1">
      <alignment horizontal="center"/>
    </xf>
    <xf numFmtId="0" fontId="3" fillId="3" borderId="41" xfId="0" applyFont="1" applyFill="1" applyBorder="1" applyAlignment="1">
      <alignment horizontal="center"/>
    </xf>
    <xf numFmtId="2" fontId="3" fillId="0" borderId="42" xfId="0" applyNumberFormat="1" applyFont="1" applyFill="1" applyBorder="1" applyAlignment="1"/>
    <xf numFmtId="0" fontId="3" fillId="0" borderId="21" xfId="0" applyFont="1" applyFill="1" applyBorder="1" applyAlignment="1">
      <alignment horizontal="center" vertical="center"/>
    </xf>
    <xf numFmtId="0" fontId="14" fillId="5" borderId="0" xfId="0" applyFont="1" applyFill="1" applyAlignment="1"/>
    <xf numFmtId="0" fontId="14" fillId="5" borderId="43" xfId="0" applyFont="1" applyFill="1" applyBorder="1" applyAlignment="1">
      <alignment horizontal="center"/>
    </xf>
    <xf numFmtId="0" fontId="14" fillId="5" borderId="44" xfId="0" applyFont="1" applyFill="1" applyBorder="1" applyAlignment="1"/>
    <xf numFmtId="0" fontId="14" fillId="5" borderId="45" xfId="0" applyFont="1" applyFill="1" applyBorder="1" applyAlignment="1">
      <alignment horizontal="center" vertical="center"/>
    </xf>
    <xf numFmtId="0" fontId="14" fillId="5" borderId="45" xfId="0" applyFont="1" applyFill="1" applyBorder="1" applyAlignment="1"/>
    <xf numFmtId="0" fontId="3" fillId="0" borderId="46" xfId="0" applyFont="1" applyFill="1" applyBorder="1">
      <alignment vertical="center"/>
    </xf>
    <xf numFmtId="0" fontId="3" fillId="0" borderId="47" xfId="0" applyFont="1" applyFill="1" applyBorder="1">
      <alignment vertical="center"/>
    </xf>
    <xf numFmtId="0" fontId="3" fillId="0" borderId="47" xfId="0" applyFont="1" applyFill="1" applyBorder="1" applyAlignment="1">
      <alignment horizontal="center" vertical="center"/>
    </xf>
    <xf numFmtId="0" fontId="14" fillId="5" borderId="47" xfId="0" applyFont="1" applyFill="1" applyBorder="1">
      <alignment vertical="center"/>
    </xf>
    <xf numFmtId="0" fontId="14" fillId="5" borderId="48" xfId="0" applyFont="1" applyFill="1" applyBorder="1">
      <alignment vertical="center"/>
    </xf>
    <xf numFmtId="0" fontId="14" fillId="5" borderId="49" xfId="0" applyFont="1" applyFill="1" applyBorder="1" applyAlignment="1">
      <alignment horizontal="center" vertical="center"/>
    </xf>
    <xf numFmtId="0" fontId="15" fillId="0" borderId="0" xfId="0" applyFont="1" applyFill="1" applyAlignment="1"/>
    <xf numFmtId="0" fontId="15" fillId="0" borderId="0" xfId="0" applyFont="1" applyFill="1" applyAlignment="1">
      <alignment horizontal="center"/>
    </xf>
    <xf numFmtId="0" fontId="15" fillId="0" borderId="0" xfId="0" applyFont="1" applyFill="1" applyBorder="1" applyAlignment="1">
      <alignment horizontal="center" vertical="center"/>
    </xf>
    <xf numFmtId="0" fontId="15" fillId="0" borderId="0" xfId="0" applyFont="1" applyFill="1" applyBorder="1" applyAlignment="1"/>
    <xf numFmtId="15" fontId="3" fillId="0" borderId="0" xfId="0" applyNumberFormat="1" applyFont="1" applyFill="1" applyAlignment="1"/>
    <xf numFmtId="0" fontId="15" fillId="0" borderId="0" xfId="0" applyFont="1" applyFill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3" fillId="0" borderId="0" xfId="0" applyFont="1" applyFill="1" applyAlignment="1" applyProtection="1">
      <protection locked="0"/>
    </xf>
    <xf numFmtId="0" fontId="3" fillId="0" borderId="0" xfId="0" applyFont="1" applyFill="1" applyAlignment="1" applyProtection="1">
      <alignment horizontal="center"/>
      <protection locked="0"/>
    </xf>
    <xf numFmtId="0" fontId="3" fillId="0" borderId="0" xfId="0" applyFont="1" applyFill="1" applyAlignment="1" applyProtection="1">
      <alignment horizontal="center" vertical="center"/>
      <protection locked="0"/>
    </xf>
    <xf numFmtId="0" fontId="3" fillId="0" borderId="0" xfId="0" applyFont="1" applyFill="1" applyProtection="1">
      <alignment vertical="center"/>
      <protection locked="0"/>
    </xf>
    <xf numFmtId="0" fontId="19" fillId="0" borderId="0" xfId="0" applyFont="1" applyFill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32" fillId="0" borderId="50" xfId="0" applyFont="1" applyBorder="1" applyAlignment="1">
      <alignment horizontal="center" vertical="center" wrapText="1"/>
    </xf>
    <xf numFmtId="0" fontId="2" fillId="0" borderId="56" xfId="9" applyBorder="1"/>
    <xf numFmtId="0" fontId="2" fillId="0" borderId="0" xfId="9" applyBorder="1"/>
    <xf numFmtId="0" fontId="2" fillId="0" borderId="0" xfId="9" applyBorder="1" applyAlignment="1">
      <alignment horizontal="center"/>
    </xf>
    <xf numFmtId="0" fontId="2" fillId="0" borderId="64" xfId="9" applyBorder="1"/>
    <xf numFmtId="0" fontId="17" fillId="0" borderId="0" xfId="3" applyFont="1" applyFill="1" applyAlignment="1" applyProtection="1">
      <alignment horizontal="center" vertical="center"/>
    </xf>
    <xf numFmtId="0" fontId="18" fillId="0" borderId="61" xfId="0" applyFont="1" applyBorder="1" applyAlignment="1" applyProtection="1">
      <alignment horizontal="center" vertical="center"/>
      <protection locked="0"/>
    </xf>
    <xf numFmtId="0" fontId="18" fillId="0" borderId="55" xfId="0" applyFont="1" applyBorder="1" applyAlignment="1" applyProtection="1">
      <alignment horizontal="left" vertical="center"/>
      <protection locked="0"/>
    </xf>
    <xf numFmtId="0" fontId="38" fillId="0" borderId="0" xfId="0" applyFont="1" applyAlignment="1">
      <alignment horizontal="justify" vertical="center"/>
    </xf>
    <xf numFmtId="0" fontId="0" fillId="0" borderId="0" xfId="0" applyAlignment="1">
      <alignment vertical="center" wrapText="1"/>
    </xf>
    <xf numFmtId="0" fontId="6" fillId="0" borderId="0" xfId="0" applyFont="1" applyAlignment="1">
      <alignment vertical="center"/>
    </xf>
    <xf numFmtId="0" fontId="39" fillId="23" borderId="50" xfId="0" applyFont="1" applyFill="1" applyBorder="1">
      <alignment vertical="center"/>
    </xf>
    <xf numFmtId="0" fontId="39" fillId="23" borderId="50" xfId="0" applyFont="1" applyFill="1" applyBorder="1" applyAlignment="1">
      <alignment horizontal="center" vertical="center"/>
    </xf>
    <xf numFmtId="0" fontId="18" fillId="0" borderId="0" xfId="5" applyFont="1" applyFill="1" applyBorder="1" applyAlignment="1" applyProtection="1">
      <alignment horizontal="center" vertical="center"/>
    </xf>
    <xf numFmtId="2" fontId="38" fillId="28" borderId="50" xfId="0" applyNumberFormat="1" applyFont="1" applyFill="1" applyBorder="1" applyAlignment="1" applyProtection="1">
      <alignment horizontal="center" vertical="center"/>
      <protection hidden="1"/>
    </xf>
    <xf numFmtId="0" fontId="18" fillId="0" borderId="61" xfId="0" applyFont="1" applyBorder="1" applyAlignment="1" applyProtection="1">
      <alignment horizontal="center" vertical="center"/>
      <protection hidden="1"/>
    </xf>
    <xf numFmtId="0" fontId="18" fillId="0" borderId="55" xfId="0" applyFont="1" applyBorder="1" applyAlignment="1" applyProtection="1">
      <alignment horizontal="left" vertical="center"/>
      <protection hidden="1"/>
    </xf>
    <xf numFmtId="0" fontId="27" fillId="0" borderId="50" xfId="0" applyFont="1" applyBorder="1" applyAlignment="1" applyProtection="1">
      <alignment horizontal="center" vertical="center"/>
      <protection hidden="1"/>
    </xf>
    <xf numFmtId="0" fontId="27" fillId="0" borderId="62" xfId="0" applyNumberFormat="1" applyFont="1" applyFill="1" applyBorder="1" applyAlignment="1" applyProtection="1">
      <alignment horizontal="center" vertical="center"/>
      <protection hidden="1"/>
    </xf>
    <xf numFmtId="1" fontId="27" fillId="0" borderId="62" xfId="0" applyNumberFormat="1" applyFont="1" applyFill="1" applyBorder="1" applyAlignment="1" applyProtection="1">
      <alignment horizontal="center" vertical="center"/>
      <protection hidden="1"/>
    </xf>
    <xf numFmtId="0" fontId="17" fillId="0" borderId="0" xfId="3" applyFont="1" applyFill="1" applyAlignment="1" applyProtection="1">
      <alignment vertical="center"/>
    </xf>
    <xf numFmtId="0" fontId="17" fillId="0" borderId="0" xfId="3" applyFont="1" applyFill="1" applyAlignment="1" applyProtection="1">
      <alignment horizontal="center" vertical="center"/>
    </xf>
    <xf numFmtId="0" fontId="20" fillId="0" borderId="0" xfId="0" applyFont="1" applyAlignment="1">
      <alignment vertical="center" wrapText="1"/>
    </xf>
    <xf numFmtId="0" fontId="17" fillId="0" borderId="0" xfId="3" applyFont="1" applyFill="1" applyAlignment="1" applyProtection="1">
      <alignment horizontal="center" vertical="center"/>
    </xf>
    <xf numFmtId="0" fontId="39" fillId="0" borderId="0" xfId="0" applyFont="1" applyAlignment="1">
      <alignment horizontal="center" vertical="center"/>
    </xf>
    <xf numFmtId="0" fontId="17" fillId="0" borderId="0" xfId="3" applyFont="1" applyFill="1" applyAlignment="1" applyProtection="1">
      <alignment horizontal="center" vertical="center"/>
    </xf>
    <xf numFmtId="0" fontId="28" fillId="0" borderId="60" xfId="0" applyFont="1" applyBorder="1" applyAlignment="1">
      <alignment horizontal="center" vertical="center"/>
    </xf>
    <xf numFmtId="0" fontId="41" fillId="0" borderId="50" xfId="0" applyFont="1" applyBorder="1" applyAlignment="1">
      <alignment horizontal="center" vertical="center"/>
    </xf>
    <xf numFmtId="0" fontId="0" fillId="0" borderId="50" xfId="0" applyBorder="1">
      <alignment vertical="center"/>
    </xf>
    <xf numFmtId="0" fontId="41" fillId="0" borderId="50" xfId="0" applyFont="1" applyBorder="1" applyAlignment="1">
      <alignment horizontal="center" vertical="center"/>
    </xf>
    <xf numFmtId="0" fontId="41" fillId="0" borderId="0" xfId="0" applyFont="1" applyBorder="1" applyAlignment="1">
      <alignment horizontal="center" vertical="center"/>
    </xf>
    <xf numFmtId="0" fontId="0" fillId="0" borderId="0" xfId="0" applyBorder="1">
      <alignment vertical="center"/>
    </xf>
    <xf numFmtId="0" fontId="20" fillId="0" borderId="0" xfId="0" applyFont="1" applyBorder="1" applyAlignment="1">
      <alignment horizontal="center" vertical="center"/>
    </xf>
    <xf numFmtId="0" fontId="41" fillId="0" borderId="0" xfId="0" applyFont="1" applyFill="1" applyBorder="1" applyAlignment="1">
      <alignment horizontal="center" vertical="center"/>
    </xf>
    <xf numFmtId="0" fontId="41" fillId="0" borderId="50" xfId="0" applyFont="1" applyFill="1" applyBorder="1" applyAlignment="1">
      <alignment horizontal="center" vertical="center"/>
    </xf>
    <xf numFmtId="0" fontId="20" fillId="0" borderId="50" xfId="0" applyFont="1" applyBorder="1" applyAlignment="1">
      <alignment horizontal="center" vertical="center"/>
    </xf>
    <xf numFmtId="0" fontId="20" fillId="0" borderId="50" xfId="0" applyFont="1" applyFill="1" applyBorder="1" applyAlignment="1">
      <alignment horizontal="center" vertical="center"/>
    </xf>
    <xf numFmtId="1" fontId="19" fillId="31" borderId="50" xfId="3" applyNumberFormat="1" applyFont="1" applyFill="1" applyBorder="1" applyAlignment="1" applyProtection="1">
      <alignment horizontal="center" vertical="center"/>
    </xf>
    <xf numFmtId="0" fontId="17" fillId="0" borderId="60" xfId="0" applyFont="1" applyBorder="1" applyAlignment="1">
      <alignment horizontal="center" vertical="center"/>
    </xf>
    <xf numFmtId="0" fontId="20" fillId="0" borderId="0" xfId="0" applyFont="1" applyAlignment="1">
      <alignment horizontal="left" vertical="center" wrapText="1"/>
    </xf>
    <xf numFmtId="0" fontId="42" fillId="0" borderId="50" xfId="0" applyFont="1" applyBorder="1">
      <alignment vertical="center"/>
    </xf>
    <xf numFmtId="0" fontId="20" fillId="0" borderId="50" xfId="0" applyFont="1" applyBorder="1" applyAlignment="1">
      <alignment vertical="center" wrapText="1"/>
    </xf>
    <xf numFmtId="0" fontId="41" fillId="0" borderId="50" xfId="0" applyFont="1" applyBorder="1" applyAlignment="1">
      <alignment horizontal="center" vertical="center" wrapText="1"/>
    </xf>
    <xf numFmtId="0" fontId="47" fillId="0" borderId="50" xfId="0" applyFont="1" applyBorder="1">
      <alignment vertical="center"/>
    </xf>
    <xf numFmtId="0" fontId="48" fillId="0" borderId="50" xfId="0" applyFont="1" applyBorder="1">
      <alignment vertical="center"/>
    </xf>
    <xf numFmtId="0" fontId="0" fillId="0" borderId="50" xfId="0" applyBorder="1" applyAlignment="1">
      <alignment horizontal="center" vertical="center"/>
    </xf>
    <xf numFmtId="0" fontId="6" fillId="0" borderId="50" xfId="0" applyFont="1" applyBorder="1" applyAlignment="1">
      <alignment horizontal="center" vertical="center"/>
    </xf>
    <xf numFmtId="0" fontId="38" fillId="0" borderId="0" xfId="0" applyFont="1" applyAlignment="1">
      <alignment vertical="center"/>
    </xf>
    <xf numFmtId="0" fontId="6" fillId="0" borderId="50" xfId="0" applyFont="1" applyBorder="1">
      <alignment vertical="center"/>
    </xf>
    <xf numFmtId="0" fontId="19" fillId="0" borderId="50" xfId="0" applyFont="1" applyBorder="1" applyAlignment="1">
      <alignment horizontal="center" vertical="center" wrapText="1"/>
    </xf>
    <xf numFmtId="0" fontId="19" fillId="25" borderId="50" xfId="0" applyFont="1" applyFill="1" applyBorder="1" applyAlignment="1">
      <alignment horizontal="center" vertical="center" wrapText="1"/>
    </xf>
    <xf numFmtId="0" fontId="19" fillId="26" borderId="55" xfId="1" applyFont="1" applyFill="1" applyBorder="1" applyAlignment="1" applyProtection="1">
      <alignment horizontal="center" vertical="center" wrapText="1"/>
    </xf>
    <xf numFmtId="0" fontId="19" fillId="26" borderId="50" xfId="1" applyFont="1" applyFill="1" applyBorder="1" applyAlignment="1" applyProtection="1">
      <alignment horizontal="center" vertical="center" wrapText="1"/>
    </xf>
    <xf numFmtId="0" fontId="19" fillId="33" borderId="50" xfId="3" applyNumberFormat="1" applyFont="1" applyFill="1" applyBorder="1" applyAlignment="1" applyProtection="1">
      <alignment horizontal="center" vertical="center"/>
    </xf>
    <xf numFmtId="1" fontId="19" fillId="27" borderId="50" xfId="3" applyNumberFormat="1" applyFont="1" applyFill="1" applyBorder="1" applyAlignment="1" applyProtection="1">
      <alignment horizontal="center" vertical="center"/>
    </xf>
    <xf numFmtId="1" fontId="18" fillId="13" borderId="50" xfId="3" applyNumberFormat="1" applyFont="1" applyFill="1" applyBorder="1" applyAlignment="1" applyProtection="1">
      <alignment horizontal="center" vertical="center"/>
      <protection hidden="1"/>
    </xf>
    <xf numFmtId="9" fontId="18" fillId="13" borderId="50" xfId="53" applyFont="1" applyFill="1" applyBorder="1" applyAlignment="1" applyProtection="1">
      <alignment horizontal="center" vertical="center"/>
      <protection hidden="1"/>
    </xf>
    <xf numFmtId="0" fontId="19" fillId="32" borderId="50" xfId="3" applyNumberFormat="1" applyFont="1" applyFill="1" applyBorder="1" applyAlignment="1" applyProtection="1">
      <alignment horizontal="center" vertical="center"/>
    </xf>
    <xf numFmtId="0" fontId="19" fillId="33" borderId="50" xfId="0" applyNumberFormat="1" applyFont="1" applyFill="1" applyBorder="1" applyAlignment="1">
      <alignment horizontal="center" vertical="center" wrapText="1"/>
    </xf>
    <xf numFmtId="1" fontId="19" fillId="25" borderId="50" xfId="3" applyNumberFormat="1" applyFont="1" applyFill="1" applyBorder="1" applyAlignment="1" applyProtection="1">
      <alignment horizontal="center" vertical="center" wrapText="1"/>
    </xf>
    <xf numFmtId="1" fontId="19" fillId="34" borderId="50" xfId="3" applyNumberFormat="1" applyFont="1" applyFill="1" applyBorder="1" applyAlignment="1" applyProtection="1">
      <alignment horizontal="center" vertical="center"/>
    </xf>
    <xf numFmtId="0" fontId="18" fillId="0" borderId="50" xfId="0" applyFont="1" applyBorder="1" applyAlignment="1" applyProtection="1">
      <alignment horizontal="left" vertical="center"/>
      <protection locked="0"/>
    </xf>
    <xf numFmtId="1" fontId="19" fillId="27" borderId="50" xfId="0" applyNumberFormat="1" applyFont="1" applyFill="1" applyBorder="1" applyAlignment="1" applyProtection="1">
      <alignment horizontal="center" wrapText="1"/>
      <protection hidden="1"/>
    </xf>
    <xf numFmtId="0" fontId="19" fillId="27" borderId="50" xfId="0" applyNumberFormat="1" applyFont="1" applyFill="1" applyBorder="1" applyAlignment="1">
      <alignment horizontal="center" vertical="center" wrapText="1"/>
    </xf>
    <xf numFmtId="1" fontId="19" fillId="27" borderId="50" xfId="3" applyNumberFormat="1" applyFont="1" applyFill="1" applyBorder="1" applyAlignment="1" applyProtection="1">
      <alignment horizontal="center" vertical="center" wrapText="1"/>
    </xf>
    <xf numFmtId="1" fontId="27" fillId="0" borderId="70" xfId="0" applyNumberFormat="1" applyFont="1" applyFill="1" applyBorder="1" applyAlignment="1" applyProtection="1">
      <alignment horizontal="center" vertical="center"/>
      <protection hidden="1"/>
    </xf>
    <xf numFmtId="1" fontId="27" fillId="0" borderId="52" xfId="0" applyNumberFormat="1" applyFont="1" applyBorder="1" applyAlignment="1" applyProtection="1">
      <alignment horizontal="center" vertical="center"/>
      <protection hidden="1"/>
    </xf>
    <xf numFmtId="0" fontId="19" fillId="31" borderId="50" xfId="1" applyFont="1" applyFill="1" applyBorder="1" applyAlignment="1" applyProtection="1">
      <alignment horizontal="center" vertical="center"/>
    </xf>
    <xf numFmtId="0" fontId="19" fillId="31" borderId="50" xfId="1" applyFont="1" applyFill="1" applyBorder="1" applyAlignment="1" applyProtection="1">
      <alignment horizontal="center" vertical="center" wrapText="1"/>
    </xf>
    <xf numFmtId="0" fontId="6" fillId="0" borderId="50" xfId="0" applyFont="1" applyFill="1" applyBorder="1" applyAlignment="1">
      <alignment horizontal="center" vertical="center"/>
    </xf>
    <xf numFmtId="0" fontId="39" fillId="31" borderId="0" xfId="0" applyFont="1" applyFill="1" applyAlignment="1">
      <alignment horizontal="center" vertical="center"/>
    </xf>
    <xf numFmtId="0" fontId="18" fillId="27" borderId="50" xfId="0" applyFont="1" applyFill="1" applyBorder="1" applyAlignment="1" applyProtection="1">
      <alignment horizontal="center" vertical="center" wrapText="1"/>
      <protection locked="0"/>
    </xf>
    <xf numFmtId="0" fontId="18" fillId="27" borderId="50" xfId="0" applyNumberFormat="1" applyFont="1" applyFill="1" applyBorder="1" applyAlignment="1" applyProtection="1">
      <alignment horizontal="center" vertical="center" wrapText="1"/>
      <protection locked="0"/>
    </xf>
    <xf numFmtId="0" fontId="7" fillId="0" borderId="49" xfId="0" applyFont="1" applyBorder="1" applyAlignment="1">
      <alignment horizontal="center" vertical="center"/>
    </xf>
    <xf numFmtId="0" fontId="53" fillId="13" borderId="49" xfId="0" applyFont="1" applyFill="1" applyBorder="1" applyAlignment="1">
      <alignment horizontal="center" vertical="center"/>
    </xf>
    <xf numFmtId="0" fontId="53" fillId="13" borderId="14" xfId="0" applyFont="1" applyFill="1" applyBorder="1" applyAlignment="1">
      <alignment horizontal="center" vertical="center"/>
    </xf>
    <xf numFmtId="0" fontId="7" fillId="0" borderId="14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3" xfId="0" applyFont="1" applyBorder="1" applyAlignment="1">
      <alignment vertical="center" wrapText="1"/>
    </xf>
    <xf numFmtId="0" fontId="11" fillId="13" borderId="13" xfId="0" applyFont="1" applyFill="1" applyBorder="1" applyAlignment="1">
      <alignment vertical="center" wrapText="1"/>
    </xf>
    <xf numFmtId="0" fontId="11" fillId="13" borderId="14" xfId="0" applyFont="1" applyFill="1" applyBorder="1" applyAlignment="1">
      <alignment vertical="center" wrapText="1"/>
    </xf>
    <xf numFmtId="0" fontId="11" fillId="13" borderId="49" xfId="0" applyFont="1" applyFill="1" applyBorder="1" applyAlignment="1">
      <alignment vertical="center" wrapText="1"/>
    </xf>
    <xf numFmtId="0" fontId="3" fillId="0" borderId="14" xfId="0" applyFont="1" applyBorder="1" applyAlignment="1">
      <alignment vertical="center" wrapText="1"/>
    </xf>
    <xf numFmtId="1" fontId="19" fillId="26" borderId="50" xfId="0" applyNumberFormat="1" applyFont="1" applyFill="1" applyBorder="1" applyAlignment="1" applyProtection="1">
      <alignment horizontal="center" vertical="center" wrapText="1"/>
      <protection hidden="1"/>
    </xf>
    <xf numFmtId="0" fontId="20" fillId="0" borderId="50" xfId="0" applyFont="1" applyBorder="1" applyAlignment="1">
      <alignment horizontal="center" vertical="center" wrapText="1"/>
    </xf>
    <xf numFmtId="9" fontId="18" fillId="21" borderId="50" xfId="53" applyFont="1" applyFill="1" applyBorder="1" applyAlignment="1" applyProtection="1">
      <alignment horizontal="center" vertical="center" wrapText="1"/>
    </xf>
    <xf numFmtId="9" fontId="18" fillId="14" borderId="50" xfId="53" applyFont="1" applyFill="1" applyBorder="1" applyAlignment="1" applyProtection="1">
      <alignment horizontal="center" vertical="center" wrapText="1"/>
    </xf>
    <xf numFmtId="9" fontId="18" fillId="15" borderId="50" xfId="53" applyFont="1" applyFill="1" applyBorder="1" applyAlignment="1" applyProtection="1">
      <alignment horizontal="center" vertical="center" wrapText="1"/>
    </xf>
    <xf numFmtId="1" fontId="18" fillId="4" borderId="50" xfId="3" applyNumberFormat="1" applyFont="1" applyFill="1" applyBorder="1" applyAlignment="1" applyProtection="1">
      <alignment horizontal="center" vertical="center"/>
    </xf>
    <xf numFmtId="1" fontId="19" fillId="24" borderId="53" xfId="8" applyNumberFormat="1" applyFont="1" applyFill="1" applyBorder="1" applyAlignment="1" applyProtection="1">
      <alignment horizontal="center" vertical="center"/>
    </xf>
    <xf numFmtId="0" fontId="6" fillId="0" borderId="0" xfId="0" applyFont="1" applyBorder="1" applyAlignment="1">
      <alignment horizontal="center" vertical="center"/>
    </xf>
    <xf numFmtId="0" fontId="0" fillId="0" borderId="50" xfId="0" applyFill="1" applyBorder="1" applyAlignment="1">
      <alignment horizontal="center" vertical="center"/>
    </xf>
    <xf numFmtId="0" fontId="39" fillId="0" borderId="50" xfId="0" applyFont="1" applyFill="1" applyBorder="1" applyAlignment="1">
      <alignment horizontal="left" vertical="center"/>
    </xf>
    <xf numFmtId="0" fontId="12" fillId="0" borderId="0" xfId="0" applyFont="1" applyBorder="1" applyAlignment="1">
      <alignment horizontal="left" vertical="center"/>
    </xf>
    <xf numFmtId="0" fontId="44" fillId="0" borderId="0" xfId="0" applyFont="1" applyFill="1" applyBorder="1" applyAlignment="1">
      <alignment horizontal="left" vertical="center"/>
    </xf>
    <xf numFmtId="0" fontId="55" fillId="0" borderId="0" xfId="0" applyFont="1" applyBorder="1" applyAlignment="1">
      <alignment horizontal="left" vertical="center"/>
    </xf>
    <xf numFmtId="0" fontId="43" fillId="0" borderId="50" xfId="0" applyFont="1" applyFill="1" applyBorder="1" applyAlignment="1">
      <alignment horizontal="center" vertical="center"/>
    </xf>
    <xf numFmtId="9" fontId="19" fillId="27" borderId="50" xfId="53" applyFont="1" applyFill="1" applyBorder="1" applyAlignment="1" applyProtection="1">
      <alignment horizontal="center" vertical="center"/>
    </xf>
    <xf numFmtId="0" fontId="19" fillId="22" borderId="50" xfId="1" applyFont="1" applyFill="1" applyBorder="1" applyAlignment="1" applyProtection="1">
      <alignment horizontal="center" vertical="center" wrapText="1"/>
    </xf>
    <xf numFmtId="1" fontId="19" fillId="22" borderId="50" xfId="3" applyNumberFormat="1" applyFont="1" applyFill="1" applyBorder="1" applyAlignment="1" applyProtection="1">
      <alignment horizontal="center" vertical="center"/>
    </xf>
    <xf numFmtId="0" fontId="6" fillId="22" borderId="50" xfId="0" applyFont="1" applyFill="1" applyBorder="1" applyAlignment="1" applyProtection="1">
      <alignment horizontal="center"/>
      <protection locked="0"/>
    </xf>
    <xf numFmtId="0" fontId="6" fillId="22" borderId="50" xfId="0" applyFont="1" applyFill="1" applyBorder="1" applyAlignment="1" applyProtection="1">
      <alignment horizontal="center"/>
    </xf>
    <xf numFmtId="9" fontId="17" fillId="0" borderId="0" xfId="3" applyNumberFormat="1" applyFont="1" applyFill="1" applyAlignment="1" applyProtection="1">
      <alignment horizontal="center" vertical="center"/>
    </xf>
    <xf numFmtId="0" fontId="12" fillId="0" borderId="0" xfId="0" applyFont="1">
      <alignment vertical="center"/>
    </xf>
    <xf numFmtId="0" fontId="19" fillId="0" borderId="0" xfId="0" applyFont="1" applyAlignment="1">
      <alignment vertical="center" wrapText="1"/>
    </xf>
    <xf numFmtId="0" fontId="17" fillId="0" borderId="0" xfId="3" applyFont="1" applyFill="1" applyAlignment="1" applyProtection="1">
      <alignment horizontal="center" vertical="center"/>
    </xf>
    <xf numFmtId="0" fontId="6" fillId="0" borderId="50" xfId="0" applyFont="1" applyBorder="1" applyAlignment="1" applyProtection="1">
      <alignment horizontal="center" vertical="center"/>
      <protection locked="0"/>
    </xf>
    <xf numFmtId="0" fontId="19" fillId="0" borderId="59" xfId="1" applyFont="1" applyFill="1" applyBorder="1" applyAlignment="1" applyProtection="1">
      <alignment horizontal="center" vertical="center" wrapText="1"/>
    </xf>
    <xf numFmtId="0" fontId="19" fillId="0" borderId="61" xfId="1" applyFont="1" applyFill="1" applyBorder="1" applyAlignment="1" applyProtection="1">
      <alignment horizontal="center" vertical="center" wrapText="1"/>
    </xf>
    <xf numFmtId="0" fontId="18" fillId="0" borderId="52" xfId="0" applyFont="1" applyFill="1" applyBorder="1" applyAlignment="1" applyProtection="1">
      <alignment horizontal="center" vertical="center" wrapText="1"/>
      <protection locked="0"/>
    </xf>
    <xf numFmtId="0" fontId="19" fillId="0" borderId="50" xfId="1" applyFont="1" applyFill="1" applyBorder="1" applyAlignment="1" applyProtection="1">
      <alignment horizontal="center" vertical="center" wrapText="1"/>
    </xf>
    <xf numFmtId="0" fontId="18" fillId="0" borderId="50" xfId="0" applyFont="1" applyFill="1" applyBorder="1" applyAlignment="1" applyProtection="1">
      <alignment horizontal="center" vertical="center" wrapText="1"/>
      <protection locked="0"/>
    </xf>
    <xf numFmtId="0" fontId="19" fillId="0" borderId="50" xfId="3" applyNumberFormat="1" applyFont="1" applyFill="1" applyBorder="1" applyAlignment="1" applyProtection="1">
      <alignment horizontal="center" vertical="center"/>
    </xf>
    <xf numFmtId="0" fontId="19" fillId="0" borderId="50" xfId="0" applyNumberFormat="1" applyFont="1" applyFill="1" applyBorder="1" applyAlignment="1">
      <alignment horizontal="center" vertical="center" wrapText="1"/>
    </xf>
    <xf numFmtId="0" fontId="18" fillId="0" borderId="50" xfId="0" applyNumberFormat="1" applyFont="1" applyFill="1" applyBorder="1" applyAlignment="1" applyProtection="1">
      <alignment horizontal="center" vertical="center" wrapText="1"/>
      <protection locked="0"/>
    </xf>
    <xf numFmtId="0" fontId="19" fillId="0" borderId="50" xfId="0" applyFont="1" applyFill="1" applyBorder="1" applyAlignment="1">
      <alignment horizontal="center" vertical="center" wrapText="1"/>
    </xf>
    <xf numFmtId="1" fontId="19" fillId="0" borderId="50" xfId="3" applyNumberFormat="1" applyFont="1" applyFill="1" applyBorder="1" applyAlignment="1" applyProtection="1">
      <alignment horizontal="center" vertical="center"/>
    </xf>
    <xf numFmtId="0" fontId="6" fillId="0" borderId="50" xfId="0" applyFont="1" applyFill="1" applyBorder="1" applyAlignment="1" applyProtection="1">
      <alignment horizontal="center"/>
    </xf>
    <xf numFmtId="1" fontId="18" fillId="0" borderId="50" xfId="3" applyNumberFormat="1" applyFont="1" applyFill="1" applyBorder="1" applyAlignment="1" applyProtection="1">
      <alignment horizontal="center" vertical="center"/>
      <protection hidden="1"/>
    </xf>
    <xf numFmtId="0" fontId="3" fillId="0" borderId="16" xfId="0" applyFont="1" applyFill="1" applyBorder="1" applyAlignment="1">
      <alignment horizontal="center"/>
    </xf>
    <xf numFmtId="0" fontId="3" fillId="0" borderId="17" xfId="0" applyFont="1" applyFill="1" applyBorder="1" applyAlignment="1">
      <alignment horizontal="center"/>
    </xf>
    <xf numFmtId="0" fontId="3" fillId="0" borderId="16" xfId="0" applyFont="1" applyFill="1" applyBorder="1" applyAlignment="1">
      <alignment horizontal="center" wrapText="1"/>
    </xf>
    <xf numFmtId="0" fontId="3" fillId="0" borderId="17" xfId="0" applyFont="1" applyFill="1" applyBorder="1" applyAlignment="1">
      <alignment horizontal="center" wrapText="1"/>
    </xf>
    <xf numFmtId="0" fontId="6" fillId="2" borderId="1" xfId="0" applyFont="1" applyFill="1" applyBorder="1" applyAlignment="1">
      <alignment horizontal="center" vertical="center" wrapText="1"/>
    </xf>
    <xf numFmtId="0" fontId="6" fillId="2" borderId="8" xfId="0" applyFont="1" applyFill="1" applyBorder="1" applyAlignment="1">
      <alignment horizontal="center" vertical="center" wrapText="1"/>
    </xf>
    <xf numFmtId="0" fontId="6" fillId="2" borderId="19" xfId="0" applyFont="1" applyFill="1" applyBorder="1" applyAlignment="1">
      <alignment horizontal="center" vertical="center" wrapText="1"/>
    </xf>
    <xf numFmtId="0" fontId="7" fillId="2" borderId="5" xfId="0" applyFont="1" applyFill="1" applyBorder="1" applyAlignment="1">
      <alignment horizontal="center" vertical="center"/>
    </xf>
    <xf numFmtId="0" fontId="7" fillId="2" borderId="6" xfId="0" applyFont="1" applyFill="1" applyBorder="1" applyAlignment="1">
      <alignment horizontal="center" vertical="center"/>
    </xf>
    <xf numFmtId="0" fontId="7" fillId="2" borderId="7" xfId="0" applyFont="1" applyFill="1" applyBorder="1" applyAlignment="1">
      <alignment horizontal="center" vertical="center"/>
    </xf>
    <xf numFmtId="0" fontId="7" fillId="2" borderId="12" xfId="0" applyFont="1" applyFill="1" applyBorder="1" applyAlignment="1">
      <alignment horizontal="center" vertical="center"/>
    </xf>
    <xf numFmtId="0" fontId="7" fillId="2" borderId="13" xfId="0" applyFont="1" applyFill="1" applyBorder="1" applyAlignment="1">
      <alignment horizontal="center" vertical="center"/>
    </xf>
    <xf numFmtId="0" fontId="7" fillId="2" borderId="14" xfId="0" applyFont="1" applyFill="1" applyBorder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0" fontId="5" fillId="0" borderId="0" xfId="0" applyFont="1" applyFill="1" applyAlignment="1">
      <alignment horizontal="center" vertical="center"/>
    </xf>
    <xf numFmtId="0" fontId="6" fillId="2" borderId="3" xfId="0" applyFont="1" applyFill="1" applyBorder="1" applyAlignment="1">
      <alignment horizontal="center" vertical="center" wrapText="1"/>
    </xf>
    <xf numFmtId="0" fontId="6" fillId="2" borderId="10" xfId="0" applyFont="1" applyFill="1" applyBorder="1" applyAlignment="1">
      <alignment horizontal="center" vertical="center" wrapText="1"/>
    </xf>
    <xf numFmtId="0" fontId="6" fillId="2" borderId="21" xfId="0" applyFont="1" applyFill="1" applyBorder="1" applyAlignment="1">
      <alignment horizontal="center" vertical="center" wrapText="1"/>
    </xf>
    <xf numFmtId="0" fontId="6" fillId="2" borderId="2" xfId="0" applyFont="1" applyFill="1" applyBorder="1" applyAlignment="1">
      <alignment horizontal="center" vertical="center" wrapText="1"/>
    </xf>
    <xf numFmtId="0" fontId="6" fillId="2" borderId="9" xfId="0" applyFont="1" applyFill="1" applyBorder="1" applyAlignment="1">
      <alignment horizontal="center" vertical="center" wrapText="1"/>
    </xf>
    <xf numFmtId="0" fontId="6" fillId="2" borderId="20" xfId="0" applyFont="1" applyFill="1" applyBorder="1" applyAlignment="1">
      <alignment horizontal="center" vertical="center" wrapText="1"/>
    </xf>
    <xf numFmtId="0" fontId="6" fillId="2" borderId="4" xfId="0" applyFont="1" applyFill="1" applyBorder="1" applyAlignment="1">
      <alignment horizontal="center" vertical="center" wrapText="1"/>
    </xf>
    <xf numFmtId="0" fontId="6" fillId="2" borderId="11" xfId="0" applyFont="1" applyFill="1" applyBorder="1" applyAlignment="1">
      <alignment horizontal="center" vertical="center" wrapText="1"/>
    </xf>
    <xf numFmtId="0" fontId="6" fillId="2" borderId="15" xfId="0" applyFont="1" applyFill="1" applyBorder="1" applyAlignment="1">
      <alignment horizontal="center" vertical="center" wrapText="1"/>
    </xf>
    <xf numFmtId="0" fontId="6" fillId="2" borderId="22" xfId="0" applyFont="1" applyFill="1" applyBorder="1" applyAlignment="1">
      <alignment horizontal="center" vertical="center" wrapText="1"/>
    </xf>
    <xf numFmtId="0" fontId="8" fillId="3" borderId="25" xfId="0" applyFont="1" applyFill="1" applyBorder="1" applyAlignment="1">
      <alignment horizontal="center"/>
    </xf>
    <xf numFmtId="0" fontId="8" fillId="3" borderId="26" xfId="0" applyFont="1" applyFill="1" applyBorder="1" applyAlignment="1">
      <alignment horizontal="center"/>
    </xf>
    <xf numFmtId="0" fontId="0" fillId="0" borderId="50" xfId="0" applyBorder="1" applyAlignment="1">
      <alignment horizontal="left" vertical="center"/>
    </xf>
    <xf numFmtId="0" fontId="3" fillId="0" borderId="50" xfId="0" applyFont="1" applyBorder="1" applyAlignment="1">
      <alignment horizontal="left" vertical="center"/>
    </xf>
    <xf numFmtId="0" fontId="20" fillId="29" borderId="50" xfId="0" applyFont="1" applyFill="1" applyBorder="1" applyAlignment="1">
      <alignment horizontal="center" vertical="center"/>
    </xf>
    <xf numFmtId="0" fontId="20" fillId="0" borderId="0" xfId="0" applyFont="1" applyAlignment="1">
      <alignment horizontal="left" vertical="center" wrapText="1"/>
    </xf>
    <xf numFmtId="0" fontId="6" fillId="0" borderId="50" xfId="0" applyFont="1" applyBorder="1" applyAlignment="1">
      <alignment horizontal="left" vertical="center"/>
    </xf>
    <xf numFmtId="0" fontId="41" fillId="0" borderId="50" xfId="0" applyFont="1" applyBorder="1" applyAlignment="1">
      <alignment horizontal="center" vertical="center"/>
    </xf>
    <xf numFmtId="0" fontId="20" fillId="0" borderId="50" xfId="0" applyFont="1" applyBorder="1" applyAlignment="1">
      <alignment horizontal="center" vertical="center"/>
    </xf>
    <xf numFmtId="0" fontId="44" fillId="0" borderId="56" xfId="0" applyFont="1" applyFill="1" applyBorder="1" applyAlignment="1">
      <alignment horizontal="center" vertical="center"/>
    </xf>
    <xf numFmtId="0" fontId="44" fillId="0" borderId="0" xfId="0" applyFont="1" applyFill="1" applyBorder="1" applyAlignment="1">
      <alignment horizontal="center" vertical="center"/>
    </xf>
    <xf numFmtId="0" fontId="50" fillId="0" borderId="0" xfId="0" applyFont="1" applyAlignment="1">
      <alignment horizontal="center" vertical="center"/>
    </xf>
    <xf numFmtId="0" fontId="39" fillId="26" borderId="0" xfId="0" applyFont="1" applyFill="1" applyAlignment="1">
      <alignment horizontal="left" vertical="center"/>
    </xf>
    <xf numFmtId="0" fontId="52" fillId="0" borderId="0" xfId="0" applyFont="1" applyAlignment="1">
      <alignment horizontal="center" vertical="center"/>
    </xf>
    <xf numFmtId="0" fontId="49" fillId="0" borderId="0" xfId="0" applyFont="1" applyAlignment="1">
      <alignment horizontal="center" vertical="center"/>
    </xf>
    <xf numFmtId="0" fontId="20" fillId="0" borderId="0" xfId="0" applyFont="1" applyAlignment="1">
      <alignment vertical="center" wrapText="1"/>
    </xf>
    <xf numFmtId="0" fontId="51" fillId="0" borderId="0" xfId="0" applyFont="1" applyAlignment="1">
      <alignment vertical="center" wrapText="1"/>
    </xf>
    <xf numFmtId="0" fontId="40" fillId="0" borderId="0" xfId="0" applyFont="1" applyAlignment="1">
      <alignment horizontal="center" vertical="center"/>
    </xf>
    <xf numFmtId="0" fontId="39" fillId="0" borderId="0" xfId="0" applyFont="1" applyAlignment="1">
      <alignment horizontal="left" vertical="center" wrapText="1"/>
    </xf>
    <xf numFmtId="0" fontId="38" fillId="0" borderId="0" xfId="0" applyFont="1" applyAlignment="1">
      <alignment horizontal="left" vertical="center" wrapText="1"/>
    </xf>
    <xf numFmtId="0" fontId="20" fillId="34" borderId="0" xfId="0" applyFont="1" applyFill="1" applyBorder="1" applyAlignment="1">
      <alignment horizontal="center" vertical="center"/>
    </xf>
    <xf numFmtId="0" fontId="19" fillId="31" borderId="50" xfId="1" applyFont="1" applyFill="1" applyBorder="1" applyAlignment="1" applyProtection="1">
      <alignment horizontal="center" vertical="center" wrapText="1"/>
    </xf>
    <xf numFmtId="0" fontId="19" fillId="31" borderId="50" xfId="1" applyFont="1" applyFill="1" applyBorder="1" applyAlignment="1" applyProtection="1">
      <alignment horizontal="center" vertical="center"/>
    </xf>
    <xf numFmtId="0" fontId="19" fillId="22" borderId="24" xfId="1" applyFont="1" applyFill="1" applyBorder="1" applyAlignment="1" applyProtection="1">
      <alignment horizontal="center" vertical="center" wrapText="1"/>
    </xf>
    <xf numFmtId="0" fontId="19" fillId="22" borderId="52" xfId="1" applyFont="1" applyFill="1" applyBorder="1" applyAlignment="1" applyProtection="1">
      <alignment horizontal="center" vertical="center" wrapText="1"/>
    </xf>
    <xf numFmtId="0" fontId="19" fillId="22" borderId="27" xfId="1" applyFont="1" applyFill="1" applyBorder="1" applyAlignment="1" applyProtection="1">
      <alignment horizontal="center" vertical="center" wrapText="1"/>
    </xf>
    <xf numFmtId="0" fontId="19" fillId="22" borderId="51" xfId="1" applyFont="1" applyFill="1" applyBorder="1" applyAlignment="1" applyProtection="1">
      <alignment horizontal="center" vertical="center" wrapText="1"/>
    </xf>
    <xf numFmtId="0" fontId="19" fillId="22" borderId="65" xfId="1" applyFont="1" applyFill="1" applyBorder="1" applyAlignment="1" applyProtection="1">
      <alignment horizontal="center" vertical="center" wrapText="1"/>
    </xf>
    <xf numFmtId="0" fontId="19" fillId="22" borderId="57" xfId="1" applyFont="1" applyFill="1" applyBorder="1" applyAlignment="1" applyProtection="1">
      <alignment horizontal="center" vertical="center" wrapText="1"/>
    </xf>
    <xf numFmtId="0" fontId="20" fillId="22" borderId="28" xfId="1" applyFont="1" applyFill="1" applyBorder="1" applyAlignment="1" applyProtection="1">
      <alignment horizontal="center" vertical="center"/>
    </xf>
    <xf numFmtId="0" fontId="20" fillId="22" borderId="29" xfId="1" applyFont="1" applyFill="1" applyBorder="1" applyAlignment="1" applyProtection="1">
      <alignment horizontal="center" vertical="center"/>
    </xf>
    <xf numFmtId="0" fontId="20" fillId="22" borderId="71" xfId="1" applyFont="1" applyFill="1" applyBorder="1" applyAlignment="1" applyProtection="1">
      <alignment horizontal="center" vertical="center"/>
    </xf>
    <xf numFmtId="0" fontId="43" fillId="34" borderId="50" xfId="1" applyFont="1" applyFill="1" applyBorder="1" applyAlignment="1" applyProtection="1">
      <alignment horizontal="center" vertical="center"/>
    </xf>
    <xf numFmtId="0" fontId="19" fillId="33" borderId="50" xfId="1" applyFont="1" applyFill="1" applyBorder="1" applyAlignment="1" applyProtection="1">
      <alignment horizontal="center" vertical="center" wrapText="1"/>
    </xf>
    <xf numFmtId="0" fontId="19" fillId="32" borderId="50" xfId="1" applyFont="1" applyFill="1" applyBorder="1" applyAlignment="1" applyProtection="1">
      <alignment horizontal="center" vertical="center"/>
    </xf>
    <xf numFmtId="0" fontId="20" fillId="22" borderId="46" xfId="1" applyFont="1" applyFill="1" applyBorder="1" applyAlignment="1" applyProtection="1">
      <alignment horizontal="center" vertical="center"/>
    </xf>
    <xf numFmtId="0" fontId="20" fillId="22" borderId="47" xfId="1" applyFont="1" applyFill="1" applyBorder="1" applyAlignment="1" applyProtection="1">
      <alignment horizontal="center" vertical="center"/>
    </xf>
    <xf numFmtId="0" fontId="20" fillId="22" borderId="48" xfId="1" applyFont="1" applyFill="1" applyBorder="1" applyAlignment="1" applyProtection="1">
      <alignment horizontal="center" vertical="center"/>
    </xf>
    <xf numFmtId="0" fontId="20" fillId="7" borderId="53" xfId="1" applyFont="1" applyFill="1" applyBorder="1" applyAlignment="1" applyProtection="1">
      <alignment horizontal="center" vertical="center"/>
    </xf>
    <xf numFmtId="0" fontId="20" fillId="7" borderId="54" xfId="1" applyFont="1" applyFill="1" applyBorder="1" applyAlignment="1" applyProtection="1">
      <alignment horizontal="center" vertical="center"/>
    </xf>
    <xf numFmtId="0" fontId="20" fillId="26" borderId="50" xfId="1" applyFont="1" applyFill="1" applyBorder="1" applyAlignment="1" applyProtection="1">
      <alignment horizontal="center" vertical="center" wrapText="1"/>
    </xf>
    <xf numFmtId="0" fontId="20" fillId="26" borderId="50" xfId="0" applyFont="1" applyFill="1" applyBorder="1" applyAlignment="1"/>
    <xf numFmtId="0" fontId="20" fillId="7" borderId="50" xfId="1" applyFont="1" applyFill="1" applyBorder="1" applyAlignment="1" applyProtection="1">
      <alignment horizontal="center" vertical="center" wrapText="1"/>
    </xf>
    <xf numFmtId="0" fontId="19" fillId="26" borderId="50" xfId="1" applyFont="1" applyFill="1" applyBorder="1" applyAlignment="1" applyProtection="1">
      <alignment horizontal="center" vertical="center" wrapText="1"/>
    </xf>
    <xf numFmtId="0" fontId="16" fillId="0" borderId="0" xfId="1" applyFont="1" applyFill="1" applyAlignment="1" applyProtection="1">
      <alignment horizontal="center" vertical="center"/>
    </xf>
    <xf numFmtId="0" fontId="17" fillId="0" borderId="0" xfId="3" applyFont="1" applyFill="1" applyAlignment="1" applyProtection="1">
      <alignment horizontal="center" vertical="center"/>
    </xf>
    <xf numFmtId="0" fontId="20" fillId="33" borderId="50" xfId="1" applyFont="1" applyFill="1" applyBorder="1" applyAlignment="1" applyProtection="1">
      <alignment horizontal="center" vertical="center" wrapText="1"/>
    </xf>
    <xf numFmtId="0" fontId="19" fillId="30" borderId="50" xfId="1" applyFont="1" applyFill="1" applyBorder="1" applyAlignment="1" applyProtection="1">
      <alignment horizontal="center" vertical="center"/>
    </xf>
    <xf numFmtId="0" fontId="19" fillId="25" borderId="50" xfId="1" applyFont="1" applyFill="1" applyBorder="1" applyAlignment="1" applyProtection="1">
      <alignment horizontal="center" vertical="center" wrapText="1"/>
    </xf>
    <xf numFmtId="0" fontId="20" fillId="7" borderId="59" xfId="1" applyFont="1" applyFill="1" applyBorder="1" applyAlignment="1" applyProtection="1">
      <alignment horizontal="center" vertical="center" wrapText="1"/>
    </xf>
    <xf numFmtId="0" fontId="20" fillId="7" borderId="58" xfId="1" applyFont="1" applyFill="1" applyBorder="1" applyAlignment="1" applyProtection="1">
      <alignment horizontal="center" vertical="center" wrapText="1"/>
    </xf>
    <xf numFmtId="0" fontId="20" fillId="7" borderId="65" xfId="1" applyFont="1" applyFill="1" applyBorder="1" applyAlignment="1" applyProtection="1">
      <alignment horizontal="center" vertical="center" wrapText="1"/>
    </xf>
    <xf numFmtId="0" fontId="19" fillId="7" borderId="55" xfId="1" applyFont="1" applyFill="1" applyBorder="1" applyAlignment="1" applyProtection="1">
      <alignment horizontal="center" vertical="center"/>
    </xf>
    <xf numFmtId="0" fontId="19" fillId="7" borderId="50" xfId="1" applyFont="1" applyFill="1" applyBorder="1" applyAlignment="1" applyProtection="1">
      <alignment horizontal="center" vertical="center"/>
    </xf>
    <xf numFmtId="0" fontId="19" fillId="24" borderId="53" xfId="1" applyFont="1" applyFill="1" applyBorder="1" applyAlignment="1" applyProtection="1">
      <alignment horizontal="center" vertical="center" wrapText="1"/>
    </xf>
    <xf numFmtId="0" fontId="32" fillId="0" borderId="59" xfId="0" applyFont="1" applyBorder="1" applyAlignment="1">
      <alignment horizontal="center" vertical="center" wrapText="1"/>
    </xf>
    <xf numFmtId="0" fontId="32" fillId="0" borderId="52" xfId="0" applyFont="1" applyBorder="1" applyAlignment="1">
      <alignment horizontal="center" vertical="center" wrapText="1"/>
    </xf>
    <xf numFmtId="0" fontId="32" fillId="0" borderId="67" xfId="0" applyFont="1" applyBorder="1" applyAlignment="1">
      <alignment horizontal="center" vertical="center" wrapText="1"/>
    </xf>
    <xf numFmtId="0" fontId="32" fillId="0" borderId="69" xfId="0" applyFont="1" applyBorder="1" applyAlignment="1">
      <alignment horizontal="center" vertical="center" wrapText="1"/>
    </xf>
    <xf numFmtId="0" fontId="19" fillId="0" borderId="0" xfId="0" applyFont="1" applyAlignment="1">
      <alignment horizontal="left" vertical="center" wrapText="1"/>
    </xf>
    <xf numFmtId="0" fontId="31" fillId="0" borderId="0" xfId="0" applyFont="1" applyAlignment="1">
      <alignment horizontal="left" vertical="center" wrapText="1"/>
    </xf>
    <xf numFmtId="0" fontId="26" fillId="0" borderId="0" xfId="0" applyFont="1" applyAlignment="1">
      <alignment horizontal="center" vertical="center" wrapText="1"/>
    </xf>
    <xf numFmtId="0" fontId="17" fillId="0" borderId="0" xfId="0" applyFont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30" fillId="0" borderId="0" xfId="0" applyFont="1" applyAlignment="1">
      <alignment horizontal="right" vertical="center" wrapText="1"/>
    </xf>
    <xf numFmtId="0" fontId="2" fillId="0" borderId="60" xfId="9" applyBorder="1" applyAlignment="1">
      <alignment horizontal="center"/>
    </xf>
    <xf numFmtId="0" fontId="2" fillId="0" borderId="57" xfId="9" applyBorder="1" applyAlignment="1">
      <alignment horizontal="center"/>
    </xf>
    <xf numFmtId="0" fontId="54" fillId="18" borderId="52" xfId="9" applyFont="1" applyFill="1" applyBorder="1" applyAlignment="1">
      <alignment horizontal="left"/>
    </xf>
    <xf numFmtId="0" fontId="33" fillId="19" borderId="59" xfId="9" applyFont="1" applyFill="1" applyBorder="1" applyAlignment="1">
      <alignment horizontal="center"/>
    </xf>
    <xf numFmtId="0" fontId="37" fillId="20" borderId="67" xfId="9" applyFont="1" applyFill="1" applyBorder="1" applyAlignment="1">
      <alignment horizontal="center"/>
    </xf>
    <xf numFmtId="0" fontId="37" fillId="20" borderId="68" xfId="9" applyFont="1" applyFill="1" applyBorder="1" applyAlignment="1">
      <alignment horizontal="center"/>
    </xf>
    <xf numFmtId="0" fontId="37" fillId="20" borderId="66" xfId="9" applyFont="1" applyFill="1" applyBorder="1" applyAlignment="1">
      <alignment horizontal="center"/>
    </xf>
    <xf numFmtId="0" fontId="54" fillId="0" borderId="53" xfId="9" applyFont="1" applyBorder="1" applyAlignment="1">
      <alignment horizontal="center"/>
    </xf>
    <xf numFmtId="0" fontId="54" fillId="0" borderId="55" xfId="9" applyFont="1" applyBorder="1" applyAlignment="1">
      <alignment horizontal="center"/>
    </xf>
    <xf numFmtId="0" fontId="54" fillId="18" borderId="50" xfId="9" applyFont="1" applyFill="1" applyBorder="1" applyAlignment="1">
      <alignment horizontal="center"/>
    </xf>
    <xf numFmtId="0" fontId="46" fillId="0" borderId="50" xfId="9" applyFont="1" applyBorder="1" applyAlignment="1">
      <alignment horizontal="center"/>
    </xf>
    <xf numFmtId="0" fontId="46" fillId="18" borderId="50" xfId="9" applyFont="1" applyFill="1" applyBorder="1" applyAlignment="1">
      <alignment horizontal="center"/>
    </xf>
    <xf numFmtId="0" fontId="54" fillId="0" borderId="50" xfId="9" applyFont="1" applyBorder="1" applyAlignment="1">
      <alignment horizontal="center"/>
    </xf>
    <xf numFmtId="0" fontId="1" fillId="0" borderId="50" xfId="9" applyFont="1" applyBorder="1" applyAlignment="1">
      <alignment horizontal="left"/>
    </xf>
    <xf numFmtId="0" fontId="2" fillId="0" borderId="50" xfId="9" applyBorder="1" applyAlignment="1">
      <alignment horizontal="left"/>
    </xf>
    <xf numFmtId="0" fontId="1" fillId="18" borderId="50" xfId="9" applyFont="1" applyFill="1" applyBorder="1" applyAlignment="1">
      <alignment horizontal="center"/>
    </xf>
    <xf numFmtId="0" fontId="2" fillId="18" borderId="50" xfId="9" applyFill="1" applyBorder="1" applyAlignment="1">
      <alignment horizontal="center"/>
    </xf>
    <xf numFmtId="0" fontId="1" fillId="18" borderId="50" xfId="9" applyFont="1" applyFill="1" applyBorder="1" applyAlignment="1">
      <alignment horizontal="left"/>
    </xf>
    <xf numFmtId="0" fontId="2" fillId="18" borderId="50" xfId="9" applyFill="1" applyBorder="1" applyAlignment="1">
      <alignment horizontal="left"/>
    </xf>
    <xf numFmtId="0" fontId="2" fillId="0" borderId="65" xfId="9" applyBorder="1" applyAlignment="1">
      <alignment horizontal="center"/>
    </xf>
    <xf numFmtId="0" fontId="54" fillId="18" borderId="52" xfId="9" applyFont="1" applyFill="1" applyBorder="1" applyAlignment="1">
      <alignment horizontal="center"/>
    </xf>
    <xf numFmtId="0" fontId="1" fillId="0" borderId="50" xfId="9" applyFont="1" applyBorder="1" applyAlignment="1">
      <alignment horizontal="center"/>
    </xf>
    <xf numFmtId="0" fontId="2" fillId="0" borderId="50" xfId="9" applyBorder="1" applyAlignment="1">
      <alignment horizontal="center"/>
    </xf>
    <xf numFmtId="0" fontId="54" fillId="0" borderId="50" xfId="9" applyFont="1" applyBorder="1" applyAlignment="1">
      <alignment horizontal="left"/>
    </xf>
    <xf numFmtId="0" fontId="54" fillId="18" borderId="50" xfId="9" applyFont="1" applyFill="1" applyBorder="1" applyAlignment="1">
      <alignment horizontal="left"/>
    </xf>
    <xf numFmtId="0" fontId="46" fillId="0" borderId="50" xfId="9" applyFont="1" applyBorder="1" applyAlignment="1">
      <alignment horizontal="left"/>
    </xf>
  </cellXfs>
  <cellStyles count="54">
    <cellStyle name="20% - Accent1" xfId="5" xr:uid="{00000000-0005-0000-0000-000000000000}"/>
    <cellStyle name="40% - Accent1" xfId="8" xr:uid="{00000000-0005-0000-0000-000001000000}"/>
    <cellStyle name="40% - Accent5" xfId="7" xr:uid="{00000000-0005-0000-0000-000002000000}"/>
    <cellStyle name="60% - Accent1" xfId="3" xr:uid="{00000000-0005-0000-0000-000003000000}"/>
    <cellStyle name="Accent1" xfId="1" xr:uid="{00000000-0005-0000-0000-000004000000}"/>
    <cellStyle name="Bad" xfId="4" xr:uid="{00000000-0005-0000-0000-000005000000}"/>
    <cellStyle name="Calculation" xfId="2" xr:uid="{00000000-0005-0000-0000-000006000000}"/>
    <cellStyle name="Comma 2" xfId="52" xr:uid="{00000000-0005-0000-0000-000007000000}"/>
    <cellStyle name="Good" xfId="6" xr:uid="{00000000-0005-0000-0000-000008000000}"/>
    <cellStyle name="Normal" xfId="0" builtinId="0"/>
    <cellStyle name="Normal 2" xfId="13" xr:uid="{00000000-0005-0000-0000-00000A000000}"/>
    <cellStyle name="Normal 2 10" xfId="28" xr:uid="{00000000-0005-0000-0000-00000B000000}"/>
    <cellStyle name="Normal 2 11" xfId="30" xr:uid="{00000000-0005-0000-0000-00000C000000}"/>
    <cellStyle name="Normal 2 12" xfId="32" xr:uid="{00000000-0005-0000-0000-00000D000000}"/>
    <cellStyle name="Normal 2 13" xfId="34" xr:uid="{00000000-0005-0000-0000-00000E000000}"/>
    <cellStyle name="Normal 2 14" xfId="36" xr:uid="{00000000-0005-0000-0000-00000F000000}"/>
    <cellStyle name="Normal 2 15" xfId="38" xr:uid="{00000000-0005-0000-0000-000010000000}"/>
    <cellStyle name="Normal 2 16" xfId="40" xr:uid="{00000000-0005-0000-0000-000011000000}"/>
    <cellStyle name="Normal 2 17" xfId="42" xr:uid="{00000000-0005-0000-0000-000012000000}"/>
    <cellStyle name="Normal 2 18" xfId="44" xr:uid="{00000000-0005-0000-0000-000013000000}"/>
    <cellStyle name="Normal 2 19" xfId="46" xr:uid="{00000000-0005-0000-0000-000014000000}"/>
    <cellStyle name="Normal 2 2" xfId="14" xr:uid="{00000000-0005-0000-0000-000015000000}"/>
    <cellStyle name="Normal 2 20" xfId="48" xr:uid="{00000000-0005-0000-0000-000016000000}"/>
    <cellStyle name="Normal 2 21" xfId="50" xr:uid="{00000000-0005-0000-0000-000017000000}"/>
    <cellStyle name="Normal 2 3" xfId="17" xr:uid="{00000000-0005-0000-0000-000018000000}"/>
    <cellStyle name="Normal 2 4" xfId="19" xr:uid="{00000000-0005-0000-0000-000019000000}"/>
    <cellStyle name="Normal 2 5" xfId="20" xr:uid="{00000000-0005-0000-0000-00001A000000}"/>
    <cellStyle name="Normal 2 6" xfId="18" xr:uid="{00000000-0005-0000-0000-00001B000000}"/>
    <cellStyle name="Normal 2 7" xfId="22" xr:uid="{00000000-0005-0000-0000-00001C000000}"/>
    <cellStyle name="Normal 2 8" xfId="24" xr:uid="{00000000-0005-0000-0000-00001D000000}"/>
    <cellStyle name="Normal 2 9" xfId="26" xr:uid="{00000000-0005-0000-0000-00001E000000}"/>
    <cellStyle name="Normal 3" xfId="15" xr:uid="{00000000-0005-0000-0000-00001F000000}"/>
    <cellStyle name="Normal 3 10" xfId="37" xr:uid="{00000000-0005-0000-0000-000020000000}"/>
    <cellStyle name="Normal 3 11" xfId="39" xr:uid="{00000000-0005-0000-0000-000021000000}"/>
    <cellStyle name="Normal 3 12" xfId="41" xr:uid="{00000000-0005-0000-0000-000022000000}"/>
    <cellStyle name="Normal 3 13" xfId="43" xr:uid="{00000000-0005-0000-0000-000023000000}"/>
    <cellStyle name="Normal 3 14" xfId="45" xr:uid="{00000000-0005-0000-0000-000024000000}"/>
    <cellStyle name="Normal 3 15" xfId="47" xr:uid="{00000000-0005-0000-0000-000025000000}"/>
    <cellStyle name="Normal 3 16" xfId="49" xr:uid="{00000000-0005-0000-0000-000026000000}"/>
    <cellStyle name="Normal 3 17" xfId="51" xr:uid="{00000000-0005-0000-0000-000027000000}"/>
    <cellStyle name="Normal 3 2" xfId="21" xr:uid="{00000000-0005-0000-0000-000028000000}"/>
    <cellStyle name="Normal 3 3" xfId="23" xr:uid="{00000000-0005-0000-0000-000029000000}"/>
    <cellStyle name="Normal 3 4" xfId="25" xr:uid="{00000000-0005-0000-0000-00002A000000}"/>
    <cellStyle name="Normal 3 5" xfId="27" xr:uid="{00000000-0005-0000-0000-00002B000000}"/>
    <cellStyle name="Normal 3 6" xfId="29" xr:uid="{00000000-0005-0000-0000-00002C000000}"/>
    <cellStyle name="Normal 3 7" xfId="31" xr:uid="{00000000-0005-0000-0000-00002D000000}"/>
    <cellStyle name="Normal 3 8" xfId="33" xr:uid="{00000000-0005-0000-0000-00002E000000}"/>
    <cellStyle name="Normal 3 9" xfId="35" xr:uid="{00000000-0005-0000-0000-00002F000000}"/>
    <cellStyle name="Normal 4" xfId="11" xr:uid="{00000000-0005-0000-0000-000030000000}"/>
    <cellStyle name="Normal 5" xfId="9" xr:uid="{00000000-0005-0000-0000-000031000000}"/>
    <cellStyle name="Percent" xfId="53" builtinId="5"/>
    <cellStyle name="Percent 2" xfId="12" xr:uid="{00000000-0005-0000-0000-000032000000}"/>
    <cellStyle name="Percent 3" xfId="10" xr:uid="{00000000-0005-0000-0000-000033000000}"/>
    <cellStyle name="Style 1" xfId="16" xr:uid="{00000000-0005-0000-0000-000034000000}"/>
  </cellStyles>
  <dxfs count="185"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rgb="FF00B050"/>
        </patternFill>
      </fill>
    </dxf>
    <dxf>
      <fill>
        <patternFill>
          <bgColor theme="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0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D9F33D"/>
      <color rgb="FFFF99CC"/>
      <color rgb="FF3399FF"/>
      <color rgb="FFFFFF99"/>
      <color rgb="FFCCCC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10</xdr:row>
          <xdr:rowOff>190500</xdr:rowOff>
        </xdr:from>
        <xdr:to>
          <xdr:col>6</xdr:col>
          <xdr:colOff>419100</xdr:colOff>
          <xdr:row>12</xdr:row>
          <xdr:rowOff>123825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0000"/>
  </sheetPr>
  <dimension ref="A1:IV76"/>
  <sheetViews>
    <sheetView topLeftCell="A11" zoomScale="70" zoomScaleNormal="70" workbookViewId="0">
      <selection activeCell="O12" sqref="O12"/>
    </sheetView>
  </sheetViews>
  <sheetFormatPr defaultColWidth="9" defaultRowHeight="15" x14ac:dyDescent="0.25"/>
  <cols>
    <col min="1" max="1" width="4.42578125" style="1" customWidth="1"/>
    <col min="2" max="2" width="6.85546875" style="2" customWidth="1"/>
    <col min="3" max="3" width="7.85546875" style="3" customWidth="1"/>
    <col min="4" max="4" width="26.85546875" style="2" customWidth="1"/>
    <col min="5" max="10" width="6" style="2" customWidth="1"/>
    <col min="11" max="11" width="7.7109375" style="2" customWidth="1"/>
    <col min="12" max="12" width="6" style="1" customWidth="1"/>
    <col min="13" max="13" width="5.140625" style="1" customWidth="1"/>
    <col min="14" max="14" width="6.5703125" style="1" customWidth="1"/>
    <col min="15" max="15" width="8.42578125" style="2" customWidth="1"/>
    <col min="16" max="18" width="6.5703125" style="2" customWidth="1"/>
    <col min="19" max="19" width="6.28515625" style="2" customWidth="1"/>
    <col min="20" max="21" width="6.5703125" style="2" customWidth="1"/>
    <col min="22" max="22" width="5.5703125" style="2" customWidth="1"/>
    <col min="23" max="23" width="5.42578125" style="2" customWidth="1"/>
    <col min="24" max="29" width="5.5703125" style="2" customWidth="1"/>
    <col min="30" max="30" width="6.140625" style="2" customWidth="1"/>
    <col min="31" max="35" width="5.42578125" style="2" customWidth="1"/>
    <col min="36" max="36" width="5.140625" style="2" customWidth="1"/>
    <col min="37" max="37" width="5.28515625" style="2" customWidth="1"/>
    <col min="38" max="38" width="1.28515625" style="2" customWidth="1"/>
    <col min="39" max="39" width="7.7109375" style="3" customWidth="1"/>
    <col min="40" max="256" width="9.140625" style="2" customWidth="1"/>
  </cols>
  <sheetData>
    <row r="1" spans="1:41" ht="30" customHeight="1" x14ac:dyDescent="0.25">
      <c r="A1" s="205" t="s">
        <v>7</v>
      </c>
      <c r="B1" s="205"/>
      <c r="C1" s="205"/>
      <c r="D1" s="205"/>
      <c r="E1" s="205"/>
      <c r="F1" s="205"/>
      <c r="G1" s="205"/>
      <c r="H1" s="205"/>
      <c r="I1" s="205"/>
      <c r="J1" s="205"/>
      <c r="K1" s="205"/>
      <c r="L1" s="205"/>
      <c r="M1" s="205"/>
      <c r="N1" s="205"/>
      <c r="O1" s="205"/>
      <c r="P1" s="205"/>
      <c r="Q1" s="205"/>
      <c r="R1" s="205"/>
      <c r="S1" s="205"/>
      <c r="T1" s="205"/>
      <c r="U1" s="205"/>
      <c r="V1" s="205"/>
      <c r="W1" s="205"/>
      <c r="X1" s="205"/>
      <c r="Y1" s="205"/>
      <c r="Z1" s="205"/>
      <c r="AA1" s="205"/>
      <c r="AB1" s="205"/>
      <c r="AC1" s="205"/>
      <c r="AD1" s="205"/>
      <c r="AE1" s="205"/>
      <c r="AF1" s="205"/>
      <c r="AG1" s="205"/>
      <c r="AH1" s="205"/>
      <c r="AI1" s="205"/>
      <c r="AJ1" s="205"/>
    </row>
    <row r="2" spans="1:41" s="4" customFormat="1" ht="29.25" customHeight="1" x14ac:dyDescent="0.25">
      <c r="A2" s="206" t="s">
        <v>96</v>
      </c>
      <c r="B2" s="206"/>
      <c r="C2" s="206"/>
      <c r="D2" s="206"/>
      <c r="E2" s="206"/>
      <c r="F2" s="206"/>
      <c r="G2" s="206"/>
      <c r="H2" s="206"/>
      <c r="I2" s="206"/>
      <c r="J2" s="206"/>
      <c r="K2" s="206"/>
      <c r="L2" s="206"/>
      <c r="M2" s="206"/>
      <c r="N2" s="206"/>
      <c r="O2" s="206"/>
      <c r="P2" s="206"/>
      <c r="Q2" s="206"/>
      <c r="R2" s="206"/>
      <c r="S2" s="206"/>
      <c r="T2" s="206"/>
      <c r="U2" s="206"/>
      <c r="V2" s="206"/>
      <c r="W2" s="206"/>
      <c r="X2" s="206"/>
      <c r="Y2" s="206"/>
      <c r="Z2" s="206"/>
      <c r="AA2" s="206"/>
      <c r="AB2" s="206"/>
      <c r="AC2" s="206"/>
      <c r="AD2" s="206"/>
      <c r="AE2" s="206"/>
      <c r="AF2" s="206"/>
      <c r="AG2" s="206"/>
      <c r="AH2" s="206"/>
      <c r="AI2" s="206"/>
      <c r="AJ2" s="206"/>
      <c r="AM2" s="3"/>
    </row>
    <row r="3" spans="1:41" ht="21" customHeight="1" x14ac:dyDescent="0.25">
      <c r="A3" s="196" t="s">
        <v>4</v>
      </c>
      <c r="B3" s="210" t="s">
        <v>3</v>
      </c>
      <c r="C3" s="207" t="s">
        <v>1</v>
      </c>
      <c r="D3" s="213" t="s">
        <v>2</v>
      </c>
      <c r="E3" s="199" t="s">
        <v>91</v>
      </c>
      <c r="F3" s="200"/>
      <c r="G3" s="200"/>
      <c r="H3" s="200"/>
      <c r="I3" s="200"/>
      <c r="J3" s="200"/>
      <c r="K3" s="200"/>
      <c r="L3" s="200"/>
      <c r="M3" s="200"/>
      <c r="N3" s="200"/>
      <c r="O3" s="200"/>
      <c r="P3" s="200"/>
      <c r="Q3" s="200"/>
      <c r="R3" s="200"/>
      <c r="S3" s="200"/>
      <c r="T3" s="200"/>
      <c r="U3" s="200"/>
      <c r="V3" s="200"/>
      <c r="W3" s="200"/>
      <c r="X3" s="200"/>
      <c r="Y3" s="200"/>
      <c r="Z3" s="200"/>
      <c r="AA3" s="200"/>
      <c r="AB3" s="200"/>
      <c r="AC3" s="200"/>
      <c r="AD3" s="200"/>
      <c r="AE3" s="200"/>
      <c r="AF3" s="200"/>
      <c r="AG3" s="200"/>
      <c r="AH3" s="200"/>
      <c r="AI3" s="200"/>
      <c r="AJ3" s="200"/>
      <c r="AK3" s="200"/>
      <c r="AL3" s="200"/>
      <c r="AM3" s="201"/>
    </row>
    <row r="4" spans="1:41" ht="18" customHeight="1" x14ac:dyDescent="0.25">
      <c r="A4" s="197"/>
      <c r="B4" s="211"/>
      <c r="C4" s="208"/>
      <c r="D4" s="214"/>
      <c r="E4" s="202"/>
      <c r="F4" s="203"/>
      <c r="G4" s="203"/>
      <c r="H4" s="203"/>
      <c r="I4" s="203"/>
      <c r="J4" s="203"/>
      <c r="K4" s="203"/>
      <c r="L4" s="203"/>
      <c r="M4" s="203"/>
      <c r="N4" s="203"/>
      <c r="O4" s="203"/>
      <c r="P4" s="203"/>
      <c r="Q4" s="203"/>
      <c r="R4" s="203"/>
      <c r="S4" s="203"/>
      <c r="T4" s="203"/>
      <c r="U4" s="203"/>
      <c r="V4" s="203"/>
      <c r="W4" s="203"/>
      <c r="X4" s="203"/>
      <c r="Y4" s="203"/>
      <c r="Z4" s="203"/>
      <c r="AA4" s="203"/>
      <c r="AB4" s="203"/>
      <c r="AC4" s="203"/>
      <c r="AD4" s="203"/>
      <c r="AE4" s="203"/>
      <c r="AF4" s="203"/>
      <c r="AG4" s="203"/>
      <c r="AH4" s="203"/>
      <c r="AI4" s="203"/>
      <c r="AJ4" s="203"/>
      <c r="AK4" s="203"/>
      <c r="AL4" s="203"/>
      <c r="AM4" s="204"/>
    </row>
    <row r="5" spans="1:41" ht="16.5" customHeight="1" x14ac:dyDescent="0.25">
      <c r="A5" s="197"/>
      <c r="B5" s="211"/>
      <c r="C5" s="208"/>
      <c r="D5" s="215"/>
      <c r="E5" s="194" t="s">
        <v>60</v>
      </c>
      <c r="F5" s="195"/>
      <c r="G5" s="194" t="s">
        <v>61</v>
      </c>
      <c r="H5" s="195"/>
      <c r="I5" s="194" t="s">
        <v>62</v>
      </c>
      <c r="J5" s="195"/>
      <c r="K5" s="192" t="s">
        <v>63</v>
      </c>
      <c r="L5" s="193"/>
      <c r="M5" s="192" t="s">
        <v>64</v>
      </c>
      <c r="N5" s="193"/>
      <c r="O5" s="194" t="s">
        <v>65</v>
      </c>
      <c r="P5" s="195"/>
      <c r="Q5" s="194" t="s">
        <v>66</v>
      </c>
      <c r="R5" s="195"/>
      <c r="S5" s="194" t="s">
        <v>67</v>
      </c>
      <c r="T5" s="195"/>
      <c r="U5" s="192" t="s">
        <v>68</v>
      </c>
      <c r="V5" s="193"/>
      <c r="W5" s="192" t="s">
        <v>69</v>
      </c>
      <c r="X5" s="193"/>
      <c r="Y5" s="192" t="s">
        <v>70</v>
      </c>
      <c r="Z5" s="193"/>
      <c r="AA5" s="194" t="s">
        <v>71</v>
      </c>
      <c r="AB5" s="195"/>
      <c r="AC5" s="194" t="s">
        <v>72</v>
      </c>
      <c r="AD5" s="195"/>
      <c r="AE5" s="194" t="s">
        <v>73</v>
      </c>
      <c r="AF5" s="195"/>
      <c r="AG5" s="192" t="s">
        <v>73</v>
      </c>
      <c r="AH5" s="193"/>
      <c r="AI5" s="192" t="s">
        <v>74</v>
      </c>
      <c r="AJ5" s="193"/>
      <c r="AK5" s="192" t="s">
        <v>75</v>
      </c>
      <c r="AL5" s="193"/>
      <c r="AM5" s="5" t="s">
        <v>0</v>
      </c>
      <c r="AN5" s="6"/>
      <c r="AO5" s="7"/>
    </row>
    <row r="6" spans="1:41" ht="18" customHeight="1" x14ac:dyDescent="0.25">
      <c r="A6" s="198"/>
      <c r="B6" s="212"/>
      <c r="C6" s="209"/>
      <c r="D6" s="216"/>
      <c r="E6" s="8" t="s">
        <v>76</v>
      </c>
      <c r="F6" s="9" t="s">
        <v>77</v>
      </c>
      <c r="G6" s="9" t="s">
        <v>78</v>
      </c>
      <c r="H6" s="9" t="s">
        <v>79</v>
      </c>
      <c r="I6" s="9" t="s">
        <v>80</v>
      </c>
      <c r="J6" s="9" t="s">
        <v>81</v>
      </c>
      <c r="K6" s="9" t="s">
        <v>82</v>
      </c>
      <c r="L6" s="9" t="s">
        <v>83</v>
      </c>
      <c r="M6" s="217" t="s">
        <v>98</v>
      </c>
      <c r="N6" s="218"/>
      <c r="O6" s="9" t="s">
        <v>84</v>
      </c>
      <c r="P6" s="9" t="s">
        <v>85</v>
      </c>
      <c r="Q6" s="9" t="s">
        <v>86</v>
      </c>
      <c r="R6" s="9" t="s">
        <v>87</v>
      </c>
      <c r="S6" s="9" t="s">
        <v>88</v>
      </c>
      <c r="T6" s="9" t="s">
        <v>89</v>
      </c>
      <c r="U6" s="10" t="s">
        <v>90</v>
      </c>
      <c r="V6" s="11" t="s">
        <v>95</v>
      </c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3"/>
      <c r="AM6" s="14"/>
    </row>
    <row r="7" spans="1:41" x14ac:dyDescent="0.25">
      <c r="A7" s="15">
        <v>1</v>
      </c>
      <c r="B7" s="16" t="s">
        <v>5</v>
      </c>
      <c r="C7" s="17">
        <v>11020</v>
      </c>
      <c r="D7" s="18" t="s">
        <v>8</v>
      </c>
      <c r="E7" s="19"/>
      <c r="F7" s="19"/>
      <c r="G7" s="20"/>
      <c r="H7" s="21"/>
      <c r="I7" s="21"/>
      <c r="J7" s="21"/>
      <c r="K7" s="21"/>
      <c r="L7" s="21"/>
      <c r="M7" s="22"/>
      <c r="N7" s="22"/>
      <c r="O7" s="21"/>
      <c r="P7" s="21"/>
      <c r="Q7" s="21"/>
      <c r="R7" s="21"/>
      <c r="S7" s="21"/>
      <c r="T7" s="21"/>
      <c r="U7" s="21"/>
      <c r="V7" s="23"/>
      <c r="W7" s="23"/>
      <c r="X7" s="23"/>
      <c r="Y7" s="23"/>
      <c r="Z7" s="23"/>
      <c r="AA7" s="23"/>
      <c r="AB7" s="23"/>
      <c r="AC7" s="23"/>
      <c r="AD7" s="23"/>
      <c r="AE7" s="23"/>
      <c r="AF7" s="23"/>
      <c r="AG7" s="23"/>
      <c r="AH7" s="23"/>
      <c r="AI7" s="23"/>
      <c r="AJ7" s="23"/>
      <c r="AK7" s="23"/>
      <c r="AL7" s="24"/>
      <c r="AM7" s="25">
        <f>SUM(E7:AL7)</f>
        <v>0</v>
      </c>
    </row>
    <row r="8" spans="1:41" x14ac:dyDescent="0.25">
      <c r="A8" s="15">
        <v>2</v>
      </c>
      <c r="B8" s="26" t="s">
        <v>5</v>
      </c>
      <c r="C8" s="27">
        <v>11137</v>
      </c>
      <c r="D8" s="28" t="s">
        <v>9</v>
      </c>
      <c r="E8" s="29"/>
      <c r="F8" s="29"/>
      <c r="G8" s="30"/>
      <c r="H8" s="30"/>
      <c r="I8" s="30">
        <v>1</v>
      </c>
      <c r="J8" s="30">
        <v>1</v>
      </c>
      <c r="K8" s="30">
        <v>1</v>
      </c>
      <c r="L8" s="30"/>
      <c r="M8" s="31"/>
      <c r="N8" s="31"/>
      <c r="O8" s="30" t="s">
        <v>94</v>
      </c>
      <c r="P8" s="30"/>
      <c r="Q8" s="30"/>
      <c r="R8" s="30"/>
      <c r="S8" s="30"/>
      <c r="T8" s="30"/>
      <c r="U8" s="30"/>
      <c r="V8" s="30"/>
      <c r="W8" s="30"/>
      <c r="X8" s="30"/>
      <c r="Y8" s="30"/>
      <c r="Z8" s="30"/>
      <c r="AA8" s="30"/>
      <c r="AB8" s="30"/>
      <c r="AC8" s="30"/>
      <c r="AD8" s="30"/>
      <c r="AE8" s="30"/>
      <c r="AF8" s="30"/>
      <c r="AG8" s="30"/>
      <c r="AH8" s="30"/>
      <c r="AI8" s="30"/>
      <c r="AJ8" s="30"/>
      <c r="AK8" s="30"/>
      <c r="AL8" s="32"/>
      <c r="AM8" s="25">
        <f t="shared" ref="AM8:AM60" si="0">SUM(E8:AL8)</f>
        <v>3</v>
      </c>
    </row>
    <row r="9" spans="1:41" x14ac:dyDescent="0.25">
      <c r="A9" s="15">
        <v>3</v>
      </c>
      <c r="B9" s="26" t="s">
        <v>5</v>
      </c>
      <c r="C9" s="27">
        <v>11140</v>
      </c>
      <c r="D9" s="28" t="s">
        <v>10</v>
      </c>
      <c r="E9" s="33"/>
      <c r="F9" s="34">
        <v>1</v>
      </c>
      <c r="G9" s="30">
        <v>1</v>
      </c>
      <c r="H9" s="30">
        <v>1</v>
      </c>
      <c r="I9" s="30"/>
      <c r="J9" s="30">
        <v>1</v>
      </c>
      <c r="K9" s="30"/>
      <c r="L9" s="30"/>
      <c r="M9" s="31"/>
      <c r="N9" s="31"/>
      <c r="O9" s="30"/>
      <c r="P9" s="30"/>
      <c r="Q9" s="30"/>
      <c r="R9" s="30"/>
      <c r="S9" s="30"/>
      <c r="T9" s="30"/>
      <c r="U9" s="30"/>
      <c r="V9" s="30"/>
      <c r="W9" s="30"/>
      <c r="X9" s="30"/>
      <c r="Y9" s="30"/>
      <c r="Z9" s="30"/>
      <c r="AA9" s="30"/>
      <c r="AB9" s="30"/>
      <c r="AC9" s="30"/>
      <c r="AD9" s="30"/>
      <c r="AE9" s="30"/>
      <c r="AF9" s="30"/>
      <c r="AG9" s="30"/>
      <c r="AH9" s="30"/>
      <c r="AI9" s="30"/>
      <c r="AJ9" s="30"/>
      <c r="AK9" s="30"/>
      <c r="AL9" s="32"/>
      <c r="AM9" s="25">
        <f t="shared" si="0"/>
        <v>4</v>
      </c>
    </row>
    <row r="10" spans="1:41" x14ac:dyDescent="0.25">
      <c r="A10" s="15">
        <v>4</v>
      </c>
      <c r="B10" s="26" t="s">
        <v>5</v>
      </c>
      <c r="C10" s="27">
        <v>11173</v>
      </c>
      <c r="D10" s="28" t="s">
        <v>11</v>
      </c>
      <c r="E10" s="29"/>
      <c r="F10" s="29">
        <v>1</v>
      </c>
      <c r="G10" s="30">
        <v>1</v>
      </c>
      <c r="H10" s="30">
        <v>1</v>
      </c>
      <c r="I10" s="30">
        <v>1</v>
      </c>
      <c r="J10" s="30">
        <v>1</v>
      </c>
      <c r="K10" s="30">
        <v>1</v>
      </c>
      <c r="L10" s="30"/>
      <c r="M10" s="31"/>
      <c r="N10" s="31"/>
      <c r="O10" s="30"/>
      <c r="P10" s="30"/>
      <c r="Q10" s="30"/>
      <c r="R10" s="30"/>
      <c r="S10" s="30"/>
      <c r="T10" s="30"/>
      <c r="U10" s="30"/>
      <c r="V10" s="30"/>
      <c r="W10" s="30"/>
      <c r="X10" s="30"/>
      <c r="Y10" s="30"/>
      <c r="Z10" s="30"/>
      <c r="AA10" s="30"/>
      <c r="AB10" s="30"/>
      <c r="AC10" s="30"/>
      <c r="AD10" s="30"/>
      <c r="AE10" s="30"/>
      <c r="AF10" s="30"/>
      <c r="AG10" s="30"/>
      <c r="AH10" s="30"/>
      <c r="AI10" s="30"/>
      <c r="AJ10" s="30"/>
      <c r="AK10" s="30"/>
      <c r="AL10" s="32"/>
      <c r="AM10" s="25">
        <f t="shared" si="0"/>
        <v>6</v>
      </c>
    </row>
    <row r="11" spans="1:41" x14ac:dyDescent="0.25">
      <c r="A11" s="15">
        <v>5</v>
      </c>
      <c r="B11" s="26" t="s">
        <v>5</v>
      </c>
      <c r="C11" s="35">
        <v>11232</v>
      </c>
      <c r="D11" s="28" t="s">
        <v>12</v>
      </c>
      <c r="E11" s="29"/>
      <c r="F11" s="29">
        <v>1</v>
      </c>
      <c r="G11" s="30">
        <v>1</v>
      </c>
      <c r="H11" s="30">
        <v>1</v>
      </c>
      <c r="I11" s="30"/>
      <c r="J11" s="30">
        <v>1</v>
      </c>
      <c r="K11" s="30">
        <v>1</v>
      </c>
      <c r="L11" s="30"/>
      <c r="M11" s="31"/>
      <c r="N11" s="31"/>
      <c r="O11" s="30"/>
      <c r="P11" s="30"/>
      <c r="Q11" s="30"/>
      <c r="R11" s="30"/>
      <c r="S11" s="30"/>
      <c r="T11" s="30"/>
      <c r="U11" s="30"/>
      <c r="V11" s="30"/>
      <c r="W11" s="30"/>
      <c r="X11" s="30"/>
      <c r="Y11" s="30"/>
      <c r="Z11" s="30"/>
      <c r="AA11" s="30"/>
      <c r="AB11" s="30"/>
      <c r="AC11" s="30"/>
      <c r="AD11" s="30"/>
      <c r="AE11" s="30"/>
      <c r="AF11" s="30"/>
      <c r="AG11" s="30"/>
      <c r="AH11" s="30"/>
      <c r="AI11" s="30"/>
      <c r="AJ11" s="30"/>
      <c r="AK11" s="30"/>
      <c r="AL11" s="32"/>
      <c r="AM11" s="25">
        <f t="shared" si="0"/>
        <v>5</v>
      </c>
    </row>
    <row r="12" spans="1:41" x14ac:dyDescent="0.25">
      <c r="A12" s="15">
        <v>6</v>
      </c>
      <c r="B12" s="26" t="s">
        <v>5</v>
      </c>
      <c r="C12" s="35">
        <v>11364</v>
      </c>
      <c r="D12" s="28" t="s">
        <v>13</v>
      </c>
      <c r="E12" s="29"/>
      <c r="F12" s="29">
        <v>1</v>
      </c>
      <c r="G12" s="30"/>
      <c r="H12" s="30">
        <v>1</v>
      </c>
      <c r="I12" s="30">
        <v>1</v>
      </c>
      <c r="J12" s="30">
        <v>1</v>
      </c>
      <c r="K12" s="30"/>
      <c r="L12" s="30"/>
      <c r="M12" s="31"/>
      <c r="N12" s="31"/>
      <c r="O12" s="30"/>
      <c r="P12" s="30"/>
      <c r="Q12" s="30"/>
      <c r="R12" s="30"/>
      <c r="S12" s="30"/>
      <c r="T12" s="30"/>
      <c r="U12" s="30"/>
      <c r="V12" s="30"/>
      <c r="W12" s="30"/>
      <c r="X12" s="30"/>
      <c r="Y12" s="30"/>
      <c r="Z12" s="30"/>
      <c r="AA12" s="30"/>
      <c r="AB12" s="30"/>
      <c r="AC12" s="30"/>
      <c r="AD12" s="30"/>
      <c r="AE12" s="30"/>
      <c r="AF12" s="30"/>
      <c r="AG12" s="30"/>
      <c r="AH12" s="30"/>
      <c r="AI12" s="30"/>
      <c r="AJ12" s="30"/>
      <c r="AK12" s="30"/>
      <c r="AL12" s="32"/>
      <c r="AM12" s="25">
        <f t="shared" si="0"/>
        <v>4</v>
      </c>
    </row>
    <row r="13" spans="1:41" x14ac:dyDescent="0.25">
      <c r="A13" s="15">
        <v>7</v>
      </c>
      <c r="B13" s="26" t="s">
        <v>5</v>
      </c>
      <c r="C13" s="35">
        <v>11365</v>
      </c>
      <c r="D13" s="28" t="s">
        <v>14</v>
      </c>
      <c r="E13" s="29"/>
      <c r="F13" s="29">
        <v>1</v>
      </c>
      <c r="G13" s="30"/>
      <c r="H13" s="30">
        <v>1</v>
      </c>
      <c r="I13" s="30">
        <v>1</v>
      </c>
      <c r="J13" s="30">
        <v>1</v>
      </c>
      <c r="K13" s="30"/>
      <c r="L13" s="30"/>
      <c r="M13" s="31"/>
      <c r="N13" s="31"/>
      <c r="O13" s="30"/>
      <c r="P13" s="30"/>
      <c r="Q13" s="30"/>
      <c r="R13" s="30"/>
      <c r="S13" s="30"/>
      <c r="T13" s="30"/>
      <c r="U13" s="30"/>
      <c r="V13" s="30"/>
      <c r="W13" s="30"/>
      <c r="X13" s="30"/>
      <c r="Y13" s="30"/>
      <c r="Z13" s="30"/>
      <c r="AA13" s="30"/>
      <c r="AB13" s="30"/>
      <c r="AC13" s="30"/>
      <c r="AD13" s="30"/>
      <c r="AE13" s="30"/>
      <c r="AF13" s="30"/>
      <c r="AG13" s="30"/>
      <c r="AH13" s="30"/>
      <c r="AI13" s="30"/>
      <c r="AJ13" s="30"/>
      <c r="AK13" s="30"/>
      <c r="AL13" s="32"/>
      <c r="AM13" s="25">
        <f t="shared" si="0"/>
        <v>4</v>
      </c>
    </row>
    <row r="14" spans="1:41" x14ac:dyDescent="0.25">
      <c r="A14" s="15">
        <v>8</v>
      </c>
      <c r="B14" s="26" t="s">
        <v>5</v>
      </c>
      <c r="C14" s="35">
        <v>11382</v>
      </c>
      <c r="D14" s="28" t="s">
        <v>15</v>
      </c>
      <c r="E14" s="29"/>
      <c r="F14" s="29">
        <v>1</v>
      </c>
      <c r="G14" s="30">
        <v>1</v>
      </c>
      <c r="H14" s="30">
        <v>1</v>
      </c>
      <c r="I14" s="30"/>
      <c r="J14" s="30"/>
      <c r="K14" s="30"/>
      <c r="L14" s="30"/>
      <c r="M14" s="31"/>
      <c r="N14" s="31"/>
      <c r="O14" s="30" t="s">
        <v>94</v>
      </c>
      <c r="P14" s="30"/>
      <c r="Q14" s="30"/>
      <c r="R14" s="30"/>
      <c r="S14" s="30"/>
      <c r="T14" s="30"/>
      <c r="U14" s="30"/>
      <c r="V14" s="30"/>
      <c r="W14" s="30"/>
      <c r="X14" s="30"/>
      <c r="Y14" s="30"/>
      <c r="Z14" s="30"/>
      <c r="AA14" s="30"/>
      <c r="AB14" s="30"/>
      <c r="AC14" s="30"/>
      <c r="AD14" s="30"/>
      <c r="AE14" s="30"/>
      <c r="AF14" s="30"/>
      <c r="AG14" s="30"/>
      <c r="AH14" s="30"/>
      <c r="AI14" s="30"/>
      <c r="AJ14" s="30"/>
      <c r="AK14" s="30"/>
      <c r="AL14" s="32"/>
      <c r="AM14" s="25">
        <f t="shared" si="0"/>
        <v>3</v>
      </c>
    </row>
    <row r="15" spans="1:41" ht="14.25" customHeight="1" x14ac:dyDescent="0.25">
      <c r="A15" s="15">
        <v>9</v>
      </c>
      <c r="B15" s="26" t="s">
        <v>5</v>
      </c>
      <c r="C15" s="35">
        <v>11536</v>
      </c>
      <c r="D15" s="28" t="s">
        <v>16</v>
      </c>
      <c r="E15" s="29"/>
      <c r="F15" s="29">
        <v>1</v>
      </c>
      <c r="G15" s="30"/>
      <c r="H15" s="30">
        <v>1</v>
      </c>
      <c r="I15" s="30">
        <v>1</v>
      </c>
      <c r="J15" s="30">
        <v>1</v>
      </c>
      <c r="K15" s="30">
        <v>1</v>
      </c>
      <c r="L15" s="30"/>
      <c r="M15" s="31"/>
      <c r="N15" s="31"/>
      <c r="O15" s="30" t="s">
        <v>94</v>
      </c>
      <c r="P15" s="30"/>
      <c r="Q15" s="30"/>
      <c r="R15" s="30"/>
      <c r="S15" s="30"/>
      <c r="T15" s="30"/>
      <c r="U15" s="30"/>
      <c r="V15" s="30"/>
      <c r="W15" s="30"/>
      <c r="X15" s="30"/>
      <c r="Y15" s="30"/>
      <c r="Z15" s="30"/>
      <c r="AA15" s="30"/>
      <c r="AB15" s="30"/>
      <c r="AC15" s="30"/>
      <c r="AD15" s="30"/>
      <c r="AE15" s="30"/>
      <c r="AF15" s="30"/>
      <c r="AG15" s="30"/>
      <c r="AH15" s="30"/>
      <c r="AI15" s="30"/>
      <c r="AJ15" s="30"/>
      <c r="AK15" s="30"/>
      <c r="AL15" s="32"/>
      <c r="AM15" s="25">
        <f t="shared" si="0"/>
        <v>5</v>
      </c>
    </row>
    <row r="16" spans="1:41" ht="14.25" customHeight="1" x14ac:dyDescent="0.25">
      <c r="A16" s="15">
        <v>10</v>
      </c>
      <c r="B16" s="36" t="s">
        <v>5</v>
      </c>
      <c r="C16" s="37">
        <v>11545</v>
      </c>
      <c r="D16" s="38" t="s">
        <v>97</v>
      </c>
      <c r="E16" s="29"/>
      <c r="F16" s="29"/>
      <c r="G16" s="30"/>
      <c r="H16" s="30"/>
      <c r="I16" s="30"/>
      <c r="J16" s="30"/>
      <c r="K16" s="30">
        <v>1</v>
      </c>
      <c r="L16" s="30"/>
      <c r="M16" s="31"/>
      <c r="N16" s="31"/>
      <c r="O16" s="30"/>
      <c r="P16" s="30"/>
      <c r="Q16" s="30"/>
      <c r="R16" s="30"/>
      <c r="S16" s="30"/>
      <c r="T16" s="30"/>
      <c r="U16" s="30"/>
      <c r="V16" s="30"/>
      <c r="W16" s="30"/>
      <c r="X16" s="30"/>
      <c r="Y16" s="30"/>
      <c r="Z16" s="30"/>
      <c r="AA16" s="30"/>
      <c r="AB16" s="30"/>
      <c r="AC16" s="30"/>
      <c r="AD16" s="30"/>
      <c r="AE16" s="30"/>
      <c r="AF16" s="30"/>
      <c r="AG16" s="30"/>
      <c r="AH16" s="30"/>
      <c r="AI16" s="30"/>
      <c r="AJ16" s="30"/>
      <c r="AK16" s="30"/>
      <c r="AL16" s="32"/>
      <c r="AM16" s="25"/>
    </row>
    <row r="17" spans="1:39" x14ac:dyDescent="0.25">
      <c r="A17" s="15">
        <v>11</v>
      </c>
      <c r="B17" s="26" t="s">
        <v>5</v>
      </c>
      <c r="C17" s="35">
        <v>11599</v>
      </c>
      <c r="D17" s="28" t="s">
        <v>17</v>
      </c>
      <c r="E17" s="29"/>
      <c r="F17" s="29"/>
      <c r="G17" s="30"/>
      <c r="H17" s="30"/>
      <c r="I17" s="30">
        <v>1</v>
      </c>
      <c r="J17" s="30"/>
      <c r="K17" s="30">
        <v>1</v>
      </c>
      <c r="L17" s="30"/>
      <c r="M17" s="31"/>
      <c r="N17" s="31"/>
      <c r="O17" s="30"/>
      <c r="P17" s="30"/>
      <c r="Q17" s="30"/>
      <c r="R17" s="30"/>
      <c r="S17" s="30"/>
      <c r="T17" s="30"/>
      <c r="U17" s="30"/>
      <c r="V17" s="30"/>
      <c r="W17" s="30"/>
      <c r="X17" s="30"/>
      <c r="Y17" s="30"/>
      <c r="Z17" s="30"/>
      <c r="AA17" s="30"/>
      <c r="AB17" s="30"/>
      <c r="AC17" s="30"/>
      <c r="AD17" s="30"/>
      <c r="AE17" s="30"/>
      <c r="AF17" s="30"/>
      <c r="AG17" s="30"/>
      <c r="AH17" s="30"/>
      <c r="AI17" s="30"/>
      <c r="AJ17" s="30"/>
      <c r="AK17" s="30"/>
      <c r="AL17" s="32"/>
      <c r="AM17" s="25">
        <f t="shared" si="0"/>
        <v>2</v>
      </c>
    </row>
    <row r="18" spans="1:39" x14ac:dyDescent="0.25">
      <c r="A18" s="15">
        <v>12</v>
      </c>
      <c r="B18" s="26" t="s">
        <v>5</v>
      </c>
      <c r="C18" s="35">
        <v>13015</v>
      </c>
      <c r="D18" s="28" t="s">
        <v>18</v>
      </c>
      <c r="E18" s="29"/>
      <c r="F18" s="29">
        <v>1</v>
      </c>
      <c r="G18" s="30"/>
      <c r="H18" s="30">
        <v>1</v>
      </c>
      <c r="I18" s="30">
        <v>1</v>
      </c>
      <c r="J18" s="30"/>
      <c r="K18" s="30"/>
      <c r="L18" s="30"/>
      <c r="M18" s="31"/>
      <c r="N18" s="31"/>
      <c r="O18" s="30"/>
      <c r="P18" s="30"/>
      <c r="Q18" s="30"/>
      <c r="R18" s="30"/>
      <c r="S18" s="30"/>
      <c r="T18" s="30"/>
      <c r="U18" s="30"/>
      <c r="V18" s="30"/>
      <c r="W18" s="30"/>
      <c r="X18" s="30"/>
      <c r="Y18" s="30"/>
      <c r="Z18" s="30"/>
      <c r="AA18" s="30"/>
      <c r="AB18" s="30"/>
      <c r="AC18" s="30"/>
      <c r="AD18" s="30"/>
      <c r="AE18" s="30"/>
      <c r="AF18" s="30"/>
      <c r="AG18" s="30"/>
      <c r="AH18" s="30"/>
      <c r="AI18" s="30"/>
      <c r="AJ18" s="30"/>
      <c r="AK18" s="30"/>
      <c r="AL18" s="32"/>
      <c r="AM18" s="25">
        <f t="shared" si="0"/>
        <v>3</v>
      </c>
    </row>
    <row r="19" spans="1:39" x14ac:dyDescent="0.25">
      <c r="A19" s="15">
        <v>13</v>
      </c>
      <c r="B19" s="26" t="s">
        <v>5</v>
      </c>
      <c r="C19" s="35">
        <v>13070</v>
      </c>
      <c r="D19" s="28" t="s">
        <v>19</v>
      </c>
      <c r="E19" s="29"/>
      <c r="F19" s="29"/>
      <c r="G19" s="30"/>
      <c r="H19" s="30"/>
      <c r="I19" s="30"/>
      <c r="J19" s="30"/>
      <c r="K19" s="30"/>
      <c r="L19" s="30"/>
      <c r="M19" s="31"/>
      <c r="N19" s="31"/>
      <c r="O19" s="30"/>
      <c r="P19" s="30"/>
      <c r="Q19" s="30"/>
      <c r="R19" s="30"/>
      <c r="S19" s="30"/>
      <c r="T19" s="30"/>
      <c r="U19" s="30"/>
      <c r="V19" s="30"/>
      <c r="W19" s="30"/>
      <c r="X19" s="30"/>
      <c r="Y19" s="30"/>
      <c r="Z19" s="30"/>
      <c r="AA19" s="30"/>
      <c r="AB19" s="30"/>
      <c r="AC19" s="30"/>
      <c r="AD19" s="30"/>
      <c r="AE19" s="30"/>
      <c r="AF19" s="30"/>
      <c r="AG19" s="30"/>
      <c r="AH19" s="30"/>
      <c r="AI19" s="30"/>
      <c r="AJ19" s="30"/>
      <c r="AK19" s="30"/>
      <c r="AL19" s="32"/>
      <c r="AM19" s="25">
        <f t="shared" si="0"/>
        <v>0</v>
      </c>
    </row>
    <row r="20" spans="1:39" x14ac:dyDescent="0.25">
      <c r="A20" s="15">
        <v>14</v>
      </c>
      <c r="B20" s="26" t="s">
        <v>5</v>
      </c>
      <c r="C20" s="35">
        <v>13253</v>
      </c>
      <c r="D20" s="28" t="s">
        <v>20</v>
      </c>
      <c r="E20" s="29"/>
      <c r="F20" s="29">
        <v>1</v>
      </c>
      <c r="G20" s="30"/>
      <c r="H20" s="30">
        <v>1</v>
      </c>
      <c r="I20" s="30">
        <v>1</v>
      </c>
      <c r="J20" s="30"/>
      <c r="K20" s="30"/>
      <c r="L20" s="30"/>
      <c r="M20" s="31"/>
      <c r="N20" s="31"/>
      <c r="O20" s="30"/>
      <c r="P20" s="30"/>
      <c r="Q20" s="30"/>
      <c r="R20" s="30"/>
      <c r="S20" s="30"/>
      <c r="T20" s="30"/>
      <c r="U20" s="30"/>
      <c r="V20" s="30"/>
      <c r="W20" s="30"/>
      <c r="X20" s="30"/>
      <c r="Y20" s="30"/>
      <c r="Z20" s="30"/>
      <c r="AA20" s="30"/>
      <c r="AB20" s="30"/>
      <c r="AC20" s="30"/>
      <c r="AD20" s="30"/>
      <c r="AE20" s="30"/>
      <c r="AF20" s="30"/>
      <c r="AG20" s="30"/>
      <c r="AH20" s="30"/>
      <c r="AI20" s="30"/>
      <c r="AJ20" s="30"/>
      <c r="AK20" s="30"/>
      <c r="AL20" s="32"/>
      <c r="AM20" s="25">
        <f t="shared" si="0"/>
        <v>3</v>
      </c>
    </row>
    <row r="21" spans="1:39" x14ac:dyDescent="0.25">
      <c r="A21" s="15">
        <v>15</v>
      </c>
      <c r="B21" s="26" t="s">
        <v>5</v>
      </c>
      <c r="C21" s="35">
        <v>13254</v>
      </c>
      <c r="D21" s="28" t="s">
        <v>21</v>
      </c>
      <c r="E21" s="29"/>
      <c r="F21" s="29">
        <v>1</v>
      </c>
      <c r="G21" s="30">
        <v>1</v>
      </c>
      <c r="H21" s="30">
        <v>1</v>
      </c>
      <c r="I21" s="30"/>
      <c r="J21" s="30">
        <v>1</v>
      </c>
      <c r="K21" s="30"/>
      <c r="L21" s="30"/>
      <c r="M21" s="31"/>
      <c r="N21" s="31"/>
      <c r="O21" s="30"/>
      <c r="P21" s="30"/>
      <c r="Q21" s="30"/>
      <c r="R21" s="30"/>
      <c r="S21" s="30"/>
      <c r="T21" s="30"/>
      <c r="U21" s="30"/>
      <c r="V21" s="30"/>
      <c r="W21" s="30"/>
      <c r="X21" s="30"/>
      <c r="Y21" s="30"/>
      <c r="Z21" s="30"/>
      <c r="AA21" s="30"/>
      <c r="AB21" s="30"/>
      <c r="AC21" s="30"/>
      <c r="AD21" s="30"/>
      <c r="AE21" s="30"/>
      <c r="AF21" s="30"/>
      <c r="AG21" s="30"/>
      <c r="AH21" s="30"/>
      <c r="AI21" s="30"/>
      <c r="AJ21" s="30"/>
      <c r="AK21" s="30"/>
      <c r="AL21" s="32"/>
      <c r="AM21" s="25">
        <f t="shared" si="0"/>
        <v>4</v>
      </c>
    </row>
    <row r="22" spans="1:39" x14ac:dyDescent="0.25">
      <c r="A22" s="15">
        <v>16</v>
      </c>
      <c r="B22" s="26" t="s">
        <v>5</v>
      </c>
      <c r="C22" s="35">
        <v>13262</v>
      </c>
      <c r="D22" s="28" t="s">
        <v>22</v>
      </c>
      <c r="E22" s="29"/>
      <c r="F22" s="29">
        <v>1</v>
      </c>
      <c r="G22" s="30">
        <v>1</v>
      </c>
      <c r="H22" s="30">
        <v>1</v>
      </c>
      <c r="I22" s="30">
        <v>1</v>
      </c>
      <c r="J22" s="30">
        <v>1</v>
      </c>
      <c r="K22" s="30">
        <v>1</v>
      </c>
      <c r="L22" s="30"/>
      <c r="M22" s="31"/>
      <c r="N22" s="31"/>
      <c r="O22" s="30"/>
      <c r="P22" s="30"/>
      <c r="Q22" s="30"/>
      <c r="R22" s="30"/>
      <c r="S22" s="30"/>
      <c r="T22" s="30"/>
      <c r="U22" s="30"/>
      <c r="V22" s="30"/>
      <c r="W22" s="30"/>
      <c r="X22" s="30"/>
      <c r="Y22" s="30"/>
      <c r="Z22" s="30"/>
      <c r="AA22" s="30"/>
      <c r="AB22" s="30"/>
      <c r="AC22" s="30"/>
      <c r="AD22" s="30"/>
      <c r="AE22" s="30"/>
      <c r="AF22" s="30"/>
      <c r="AG22" s="30"/>
      <c r="AH22" s="30"/>
      <c r="AI22" s="30"/>
      <c r="AJ22" s="30"/>
      <c r="AK22" s="30"/>
      <c r="AL22" s="32"/>
      <c r="AM22" s="25">
        <f t="shared" si="0"/>
        <v>6</v>
      </c>
    </row>
    <row r="23" spans="1:39" x14ac:dyDescent="0.25">
      <c r="A23" s="15">
        <v>17</v>
      </c>
      <c r="B23" s="26" t="s">
        <v>5</v>
      </c>
      <c r="C23" s="35">
        <v>13345</v>
      </c>
      <c r="D23" s="28" t="s">
        <v>23</v>
      </c>
      <c r="E23" s="29"/>
      <c r="F23" s="29"/>
      <c r="G23" s="30"/>
      <c r="H23" s="30"/>
      <c r="I23" s="30">
        <v>1</v>
      </c>
      <c r="J23" s="30"/>
      <c r="K23" s="30"/>
      <c r="L23" s="30"/>
      <c r="M23" s="31"/>
      <c r="N23" s="31"/>
      <c r="O23" s="30"/>
      <c r="P23" s="30"/>
      <c r="Q23" s="30"/>
      <c r="R23" s="30"/>
      <c r="S23" s="30"/>
      <c r="T23" s="30"/>
      <c r="U23" s="30"/>
      <c r="V23" s="30"/>
      <c r="W23" s="30"/>
      <c r="X23" s="30"/>
      <c r="Y23" s="30"/>
      <c r="Z23" s="30"/>
      <c r="AA23" s="30"/>
      <c r="AB23" s="30"/>
      <c r="AC23" s="30"/>
      <c r="AD23" s="30"/>
      <c r="AE23" s="30"/>
      <c r="AF23" s="30"/>
      <c r="AG23" s="30"/>
      <c r="AH23" s="30"/>
      <c r="AI23" s="30"/>
      <c r="AJ23" s="30"/>
      <c r="AK23" s="30"/>
      <c r="AL23" s="32"/>
      <c r="AM23" s="25">
        <f t="shared" si="0"/>
        <v>1</v>
      </c>
    </row>
    <row r="24" spans="1:39" x14ac:dyDescent="0.25">
      <c r="A24" s="15">
        <v>18</v>
      </c>
      <c r="B24" s="26" t="s">
        <v>5</v>
      </c>
      <c r="C24" s="35">
        <v>13367</v>
      </c>
      <c r="D24" s="28" t="s">
        <v>24</v>
      </c>
      <c r="E24" s="29"/>
      <c r="F24" s="29">
        <v>1</v>
      </c>
      <c r="G24" s="30"/>
      <c r="H24" s="30">
        <v>1</v>
      </c>
      <c r="I24" s="30">
        <v>1</v>
      </c>
      <c r="J24" s="30"/>
      <c r="K24" s="30"/>
      <c r="L24" s="30"/>
      <c r="M24" s="31"/>
      <c r="N24" s="31"/>
      <c r="O24" s="30"/>
      <c r="P24" s="30"/>
      <c r="Q24" s="30"/>
      <c r="R24" s="30"/>
      <c r="S24" s="30"/>
      <c r="T24" s="30"/>
      <c r="U24" s="30"/>
      <c r="V24" s="30"/>
      <c r="W24" s="30"/>
      <c r="X24" s="30"/>
      <c r="Y24" s="30"/>
      <c r="Z24" s="30"/>
      <c r="AA24" s="30"/>
      <c r="AB24" s="30"/>
      <c r="AC24" s="30"/>
      <c r="AD24" s="30"/>
      <c r="AE24" s="30"/>
      <c r="AF24" s="30"/>
      <c r="AG24" s="30"/>
      <c r="AH24" s="30"/>
      <c r="AI24" s="30"/>
      <c r="AJ24" s="30"/>
      <c r="AK24" s="30"/>
      <c r="AL24" s="32"/>
      <c r="AM24" s="25">
        <f t="shared" si="0"/>
        <v>3</v>
      </c>
    </row>
    <row r="25" spans="1:39" x14ac:dyDescent="0.25">
      <c r="A25" s="15">
        <v>19</v>
      </c>
      <c r="B25" s="26" t="s">
        <v>5</v>
      </c>
      <c r="C25" s="35">
        <v>13438</v>
      </c>
      <c r="D25" s="28" t="s">
        <v>25</v>
      </c>
      <c r="E25" s="29"/>
      <c r="F25" s="29">
        <v>1</v>
      </c>
      <c r="G25" s="30"/>
      <c r="H25" s="30"/>
      <c r="I25" s="30">
        <v>1</v>
      </c>
      <c r="J25" s="30"/>
      <c r="K25" s="30">
        <v>1</v>
      </c>
      <c r="L25" s="30"/>
      <c r="M25" s="31"/>
      <c r="N25" s="31"/>
      <c r="O25" s="30" t="s">
        <v>94</v>
      </c>
      <c r="P25" s="30"/>
      <c r="Q25" s="30"/>
      <c r="R25" s="30"/>
      <c r="S25" s="30"/>
      <c r="T25" s="30"/>
      <c r="U25" s="30"/>
      <c r="V25" s="30"/>
      <c r="W25" s="30"/>
      <c r="X25" s="30"/>
      <c r="Y25" s="30"/>
      <c r="Z25" s="30"/>
      <c r="AA25" s="30"/>
      <c r="AB25" s="30"/>
      <c r="AC25" s="30"/>
      <c r="AD25" s="30"/>
      <c r="AE25" s="30"/>
      <c r="AF25" s="30"/>
      <c r="AG25" s="30"/>
      <c r="AH25" s="30"/>
      <c r="AI25" s="30"/>
      <c r="AJ25" s="30"/>
      <c r="AK25" s="30"/>
      <c r="AL25" s="32"/>
      <c r="AM25" s="25">
        <f t="shared" si="0"/>
        <v>3</v>
      </c>
    </row>
    <row r="26" spans="1:39" x14ac:dyDescent="0.25">
      <c r="A26" s="15">
        <v>20</v>
      </c>
      <c r="B26" s="26" t="s">
        <v>5</v>
      </c>
      <c r="C26" s="35">
        <v>13469</v>
      </c>
      <c r="D26" s="28" t="s">
        <v>26</v>
      </c>
      <c r="E26" s="29"/>
      <c r="F26" s="29">
        <v>1</v>
      </c>
      <c r="G26" s="30">
        <v>1</v>
      </c>
      <c r="H26" s="30">
        <v>1</v>
      </c>
      <c r="I26" s="30">
        <v>1</v>
      </c>
      <c r="J26" s="30">
        <v>1</v>
      </c>
      <c r="K26" s="30">
        <v>1</v>
      </c>
      <c r="L26" s="30"/>
      <c r="M26" s="31"/>
      <c r="N26" s="31"/>
      <c r="O26" s="30"/>
      <c r="P26" s="30"/>
      <c r="Q26" s="30"/>
      <c r="R26" s="30"/>
      <c r="S26" s="30"/>
      <c r="T26" s="30"/>
      <c r="U26" s="30"/>
      <c r="V26" s="30"/>
      <c r="W26" s="30"/>
      <c r="X26" s="30"/>
      <c r="Y26" s="30"/>
      <c r="Z26" s="30"/>
      <c r="AA26" s="30"/>
      <c r="AB26" s="30"/>
      <c r="AC26" s="30"/>
      <c r="AD26" s="30"/>
      <c r="AE26" s="30"/>
      <c r="AF26" s="30"/>
      <c r="AG26" s="30"/>
      <c r="AH26" s="30"/>
      <c r="AI26" s="30"/>
      <c r="AJ26" s="30"/>
      <c r="AK26" s="30"/>
      <c r="AL26" s="32"/>
      <c r="AM26" s="25">
        <f t="shared" si="0"/>
        <v>6</v>
      </c>
    </row>
    <row r="27" spans="1:39" x14ac:dyDescent="0.25">
      <c r="A27" s="15">
        <v>21</v>
      </c>
      <c r="B27" s="26" t="s">
        <v>5</v>
      </c>
      <c r="C27" s="35">
        <v>13498</v>
      </c>
      <c r="D27" s="28" t="s">
        <v>27</v>
      </c>
      <c r="E27" s="29"/>
      <c r="F27" s="29"/>
      <c r="G27" s="30"/>
      <c r="H27" s="30">
        <v>1</v>
      </c>
      <c r="I27" s="30"/>
      <c r="J27" s="30"/>
      <c r="K27" s="30"/>
      <c r="L27" s="30"/>
      <c r="M27" s="31"/>
      <c r="N27" s="31"/>
      <c r="O27" s="30"/>
      <c r="P27" s="30"/>
      <c r="Q27" s="30"/>
      <c r="R27" s="30"/>
      <c r="S27" s="30"/>
      <c r="T27" s="30"/>
      <c r="U27" s="30"/>
      <c r="V27" s="30"/>
      <c r="W27" s="30"/>
      <c r="X27" s="30"/>
      <c r="Y27" s="30"/>
      <c r="Z27" s="30"/>
      <c r="AA27" s="30"/>
      <c r="AB27" s="30"/>
      <c r="AC27" s="30"/>
      <c r="AD27" s="30"/>
      <c r="AE27" s="30"/>
      <c r="AF27" s="30"/>
      <c r="AG27" s="30"/>
      <c r="AH27" s="30"/>
      <c r="AI27" s="30"/>
      <c r="AJ27" s="30"/>
      <c r="AK27" s="30"/>
      <c r="AL27" s="32"/>
      <c r="AM27" s="25">
        <f t="shared" si="0"/>
        <v>1</v>
      </c>
    </row>
    <row r="28" spans="1:39" x14ac:dyDescent="0.25">
      <c r="A28" s="15">
        <v>22</v>
      </c>
      <c r="B28" s="26" t="s">
        <v>5</v>
      </c>
      <c r="C28" s="35">
        <v>13500</v>
      </c>
      <c r="D28" s="28" t="s">
        <v>28</v>
      </c>
      <c r="E28" s="29"/>
      <c r="F28" s="29">
        <v>1</v>
      </c>
      <c r="G28" s="30"/>
      <c r="H28" s="30">
        <v>1</v>
      </c>
      <c r="I28" s="30">
        <v>1</v>
      </c>
      <c r="J28" s="30"/>
      <c r="K28" s="30"/>
      <c r="L28" s="39"/>
      <c r="M28" s="40"/>
      <c r="N28" s="40"/>
      <c r="O28" s="30"/>
      <c r="P28" s="30"/>
      <c r="Q28" s="30"/>
      <c r="R28" s="30"/>
      <c r="S28" s="30"/>
      <c r="T28" s="30"/>
      <c r="U28" s="30"/>
      <c r="V28" s="30"/>
      <c r="W28" s="30"/>
      <c r="X28" s="30"/>
      <c r="Y28" s="30"/>
      <c r="Z28" s="30"/>
      <c r="AA28" s="30"/>
      <c r="AB28" s="30"/>
      <c r="AC28" s="30"/>
      <c r="AD28" s="30"/>
      <c r="AE28" s="30"/>
      <c r="AF28" s="30"/>
      <c r="AG28" s="30"/>
      <c r="AH28" s="30"/>
      <c r="AI28" s="30"/>
      <c r="AJ28" s="30"/>
      <c r="AK28" s="30"/>
      <c r="AL28" s="41"/>
      <c r="AM28" s="25">
        <f t="shared" si="0"/>
        <v>3</v>
      </c>
    </row>
    <row r="29" spans="1:39" x14ac:dyDescent="0.25">
      <c r="A29" s="15">
        <v>23</v>
      </c>
      <c r="B29" s="26" t="s">
        <v>5</v>
      </c>
      <c r="C29" s="35">
        <v>13570</v>
      </c>
      <c r="D29" s="28" t="s">
        <v>29</v>
      </c>
      <c r="E29" s="29"/>
      <c r="F29" s="29"/>
      <c r="G29" s="30"/>
      <c r="H29" s="30">
        <v>1</v>
      </c>
      <c r="I29" s="30">
        <v>1</v>
      </c>
      <c r="J29" s="30">
        <v>1</v>
      </c>
      <c r="K29" s="30">
        <v>1</v>
      </c>
      <c r="L29" s="39"/>
      <c r="M29" s="40"/>
      <c r="N29" s="40"/>
      <c r="O29" s="30"/>
      <c r="P29" s="30"/>
      <c r="Q29" s="30"/>
      <c r="R29" s="30"/>
      <c r="S29" s="30"/>
      <c r="T29" s="30"/>
      <c r="U29" s="30"/>
      <c r="V29" s="30"/>
      <c r="W29" s="30"/>
      <c r="X29" s="30"/>
      <c r="Y29" s="30"/>
      <c r="Z29" s="30"/>
      <c r="AA29" s="30"/>
      <c r="AB29" s="30"/>
      <c r="AC29" s="30"/>
      <c r="AD29" s="30"/>
      <c r="AE29" s="30"/>
      <c r="AF29" s="30"/>
      <c r="AG29" s="30"/>
      <c r="AH29" s="30"/>
      <c r="AI29" s="30"/>
      <c r="AJ29" s="30"/>
      <c r="AK29" s="30"/>
      <c r="AL29" s="41"/>
      <c r="AM29" s="25">
        <f t="shared" si="0"/>
        <v>4</v>
      </c>
    </row>
    <row r="30" spans="1:39" x14ac:dyDescent="0.25">
      <c r="A30" s="15">
        <v>24</v>
      </c>
      <c r="B30" s="26" t="s">
        <v>5</v>
      </c>
      <c r="C30" s="35">
        <v>13710</v>
      </c>
      <c r="D30" s="28" t="s">
        <v>30</v>
      </c>
      <c r="E30" s="29"/>
      <c r="F30" s="29">
        <v>1</v>
      </c>
      <c r="G30" s="30"/>
      <c r="H30" s="30">
        <v>1</v>
      </c>
      <c r="I30" s="30">
        <v>1</v>
      </c>
      <c r="J30" s="30"/>
      <c r="K30" s="30"/>
      <c r="L30" s="39"/>
      <c r="M30" s="40"/>
      <c r="N30" s="40"/>
      <c r="O30" s="30" t="s">
        <v>94</v>
      </c>
      <c r="P30" s="30"/>
      <c r="Q30" s="30"/>
      <c r="R30" s="30"/>
      <c r="S30" s="30"/>
      <c r="T30" s="30"/>
      <c r="U30" s="30"/>
      <c r="V30" s="30"/>
      <c r="W30" s="30"/>
      <c r="X30" s="30"/>
      <c r="Y30" s="30"/>
      <c r="Z30" s="30"/>
      <c r="AA30" s="30"/>
      <c r="AB30" s="30"/>
      <c r="AC30" s="30"/>
      <c r="AD30" s="30"/>
      <c r="AE30" s="30"/>
      <c r="AF30" s="30"/>
      <c r="AG30" s="30"/>
      <c r="AH30" s="30"/>
      <c r="AI30" s="30"/>
      <c r="AJ30" s="30"/>
      <c r="AK30" s="30"/>
      <c r="AL30" s="41"/>
      <c r="AM30" s="25">
        <f t="shared" si="0"/>
        <v>3</v>
      </c>
    </row>
    <row r="31" spans="1:39" x14ac:dyDescent="0.25">
      <c r="A31" s="15">
        <v>25</v>
      </c>
      <c r="B31" s="26" t="s">
        <v>5</v>
      </c>
      <c r="C31" s="35">
        <v>13826</v>
      </c>
      <c r="D31" s="28" t="s">
        <v>31</v>
      </c>
      <c r="E31" s="29"/>
      <c r="F31" s="29"/>
      <c r="G31" s="30"/>
      <c r="H31" s="30"/>
      <c r="I31" s="30"/>
      <c r="J31" s="30" t="s">
        <v>94</v>
      </c>
      <c r="K31" s="30"/>
      <c r="L31" s="39"/>
      <c r="M31" s="40"/>
      <c r="N31" s="40"/>
      <c r="O31" s="30"/>
      <c r="P31" s="30"/>
      <c r="Q31" s="30"/>
      <c r="R31" s="30"/>
      <c r="S31" s="30"/>
      <c r="T31" s="30"/>
      <c r="U31" s="30"/>
      <c r="V31" s="30"/>
      <c r="W31" s="30"/>
      <c r="X31" s="30"/>
      <c r="Y31" s="30"/>
      <c r="Z31" s="30"/>
      <c r="AA31" s="30"/>
      <c r="AB31" s="30"/>
      <c r="AC31" s="30"/>
      <c r="AD31" s="30"/>
      <c r="AE31" s="30"/>
      <c r="AF31" s="30"/>
      <c r="AG31" s="30"/>
      <c r="AH31" s="30"/>
      <c r="AI31" s="30"/>
      <c r="AJ31" s="30"/>
      <c r="AK31" s="30"/>
      <c r="AL31" s="41"/>
      <c r="AM31" s="25">
        <f t="shared" si="0"/>
        <v>0</v>
      </c>
    </row>
    <row r="32" spans="1:39" x14ac:dyDescent="0.25">
      <c r="A32" s="15">
        <v>26</v>
      </c>
      <c r="B32" s="26" t="s">
        <v>5</v>
      </c>
      <c r="C32" s="35">
        <v>15030</v>
      </c>
      <c r="D32" s="28" t="s">
        <v>32</v>
      </c>
      <c r="E32" s="29"/>
      <c r="F32" s="29"/>
      <c r="G32" s="30"/>
      <c r="H32" s="30"/>
      <c r="I32" s="30"/>
      <c r="J32" s="30"/>
      <c r="K32" s="30"/>
      <c r="L32" s="39"/>
      <c r="M32" s="40"/>
      <c r="N32" s="40"/>
      <c r="O32" s="30"/>
      <c r="P32" s="30"/>
      <c r="Q32" s="30"/>
      <c r="R32" s="30"/>
      <c r="S32" s="30"/>
      <c r="T32" s="30"/>
      <c r="U32" s="30"/>
      <c r="V32" s="30"/>
      <c r="W32" s="30"/>
      <c r="X32" s="30"/>
      <c r="Y32" s="30"/>
      <c r="Z32" s="30"/>
      <c r="AA32" s="30"/>
      <c r="AB32" s="30"/>
      <c r="AC32" s="30"/>
      <c r="AD32" s="30"/>
      <c r="AE32" s="30"/>
      <c r="AF32" s="30"/>
      <c r="AG32" s="30"/>
      <c r="AH32" s="30"/>
      <c r="AI32" s="30"/>
      <c r="AJ32" s="30"/>
      <c r="AK32" s="30"/>
      <c r="AL32" s="41"/>
      <c r="AM32" s="25">
        <f t="shared" si="0"/>
        <v>0</v>
      </c>
    </row>
    <row r="33" spans="1:39" x14ac:dyDescent="0.25">
      <c r="A33" s="15">
        <v>27</v>
      </c>
      <c r="B33" s="26" t="s">
        <v>5</v>
      </c>
      <c r="C33" s="35">
        <v>15034</v>
      </c>
      <c r="D33" s="28" t="s">
        <v>33</v>
      </c>
      <c r="E33" s="29"/>
      <c r="F33" s="29"/>
      <c r="G33" s="30">
        <v>1</v>
      </c>
      <c r="H33" s="30">
        <v>1</v>
      </c>
      <c r="I33" s="30">
        <v>1</v>
      </c>
      <c r="J33" s="30">
        <v>1</v>
      </c>
      <c r="K33" s="30"/>
      <c r="L33" s="39"/>
      <c r="M33" s="40"/>
      <c r="N33" s="40"/>
      <c r="O33" s="30" t="s">
        <v>94</v>
      </c>
      <c r="P33" s="30"/>
      <c r="Q33" s="30"/>
      <c r="R33" s="30"/>
      <c r="S33" s="30"/>
      <c r="T33" s="30"/>
      <c r="U33" s="30"/>
      <c r="V33" s="30"/>
      <c r="W33" s="30"/>
      <c r="X33" s="30"/>
      <c r="Y33" s="30"/>
      <c r="Z33" s="30"/>
      <c r="AA33" s="30"/>
      <c r="AB33" s="30"/>
      <c r="AC33" s="30"/>
      <c r="AD33" s="30"/>
      <c r="AE33" s="30"/>
      <c r="AF33" s="30"/>
      <c r="AG33" s="30"/>
      <c r="AH33" s="30"/>
      <c r="AI33" s="30"/>
      <c r="AJ33" s="30"/>
      <c r="AK33" s="30"/>
      <c r="AL33" s="41"/>
      <c r="AM33" s="25">
        <f t="shared" si="0"/>
        <v>4</v>
      </c>
    </row>
    <row r="34" spans="1:39" x14ac:dyDescent="0.25">
      <c r="A34" s="15">
        <v>28</v>
      </c>
      <c r="B34" s="26" t="s">
        <v>5</v>
      </c>
      <c r="C34" s="35">
        <v>15035</v>
      </c>
      <c r="D34" s="28" t="s">
        <v>34</v>
      </c>
      <c r="E34" s="29"/>
      <c r="F34" s="29">
        <v>1</v>
      </c>
      <c r="G34" s="30">
        <v>1</v>
      </c>
      <c r="H34" s="30">
        <v>1</v>
      </c>
      <c r="I34" s="30">
        <v>1</v>
      </c>
      <c r="J34" s="30">
        <v>1</v>
      </c>
      <c r="K34" s="30">
        <v>1</v>
      </c>
      <c r="L34" s="39"/>
      <c r="M34" s="40"/>
      <c r="N34" s="40"/>
      <c r="O34" s="30"/>
      <c r="P34" s="30"/>
      <c r="Q34" s="30"/>
      <c r="R34" s="30"/>
      <c r="S34" s="30"/>
      <c r="T34" s="30"/>
      <c r="U34" s="30"/>
      <c r="V34" s="30"/>
      <c r="W34" s="30"/>
      <c r="X34" s="30"/>
      <c r="Y34" s="30"/>
      <c r="Z34" s="30"/>
      <c r="AA34" s="30"/>
      <c r="AB34" s="30"/>
      <c r="AC34" s="30"/>
      <c r="AD34" s="30"/>
      <c r="AE34" s="30"/>
      <c r="AF34" s="30"/>
      <c r="AG34" s="30"/>
      <c r="AH34" s="30"/>
      <c r="AI34" s="30"/>
      <c r="AJ34" s="30"/>
      <c r="AK34" s="30"/>
      <c r="AL34" s="41"/>
      <c r="AM34" s="25">
        <f t="shared" si="0"/>
        <v>6</v>
      </c>
    </row>
    <row r="35" spans="1:39" x14ac:dyDescent="0.25">
      <c r="A35" s="15">
        <v>29</v>
      </c>
      <c r="B35" s="26" t="s">
        <v>5</v>
      </c>
      <c r="C35" s="35">
        <v>15071</v>
      </c>
      <c r="D35" s="28" t="s">
        <v>35</v>
      </c>
      <c r="E35" s="29"/>
      <c r="F35" s="29"/>
      <c r="G35" s="30"/>
      <c r="H35" s="30">
        <v>1</v>
      </c>
      <c r="I35" s="30">
        <v>1</v>
      </c>
      <c r="J35" s="30">
        <v>1</v>
      </c>
      <c r="K35" s="30">
        <v>1</v>
      </c>
      <c r="L35" s="39"/>
      <c r="M35" s="40"/>
      <c r="N35" s="40"/>
      <c r="O35" s="30" t="s">
        <v>94</v>
      </c>
      <c r="P35" s="30"/>
      <c r="Q35" s="30"/>
      <c r="R35" s="30"/>
      <c r="S35" s="30"/>
      <c r="T35" s="30"/>
      <c r="U35" s="30"/>
      <c r="V35" s="30"/>
      <c r="W35" s="30"/>
      <c r="X35" s="30"/>
      <c r="Y35" s="30"/>
      <c r="Z35" s="30"/>
      <c r="AA35" s="30"/>
      <c r="AB35" s="30"/>
      <c r="AC35" s="30"/>
      <c r="AD35" s="30"/>
      <c r="AE35" s="30"/>
      <c r="AF35" s="30"/>
      <c r="AG35" s="30"/>
      <c r="AH35" s="30"/>
      <c r="AI35" s="30"/>
      <c r="AJ35" s="30"/>
      <c r="AK35" s="30"/>
      <c r="AL35" s="41"/>
      <c r="AM35" s="25">
        <f t="shared" si="0"/>
        <v>4</v>
      </c>
    </row>
    <row r="36" spans="1:39" x14ac:dyDescent="0.25">
      <c r="A36" s="15">
        <v>30</v>
      </c>
      <c r="B36" s="26" t="s">
        <v>5</v>
      </c>
      <c r="C36" s="35">
        <v>15081</v>
      </c>
      <c r="D36" s="28" t="s">
        <v>36</v>
      </c>
      <c r="E36" s="29"/>
      <c r="F36" s="29"/>
      <c r="G36" s="30">
        <v>1</v>
      </c>
      <c r="H36" s="30">
        <v>1</v>
      </c>
      <c r="I36" s="30">
        <v>1</v>
      </c>
      <c r="J36" s="30">
        <v>1</v>
      </c>
      <c r="K36" s="30"/>
      <c r="L36" s="39"/>
      <c r="M36" s="40"/>
      <c r="N36" s="40"/>
      <c r="O36" s="30"/>
      <c r="P36" s="30"/>
      <c r="Q36" s="30"/>
      <c r="R36" s="30"/>
      <c r="S36" s="30"/>
      <c r="T36" s="30"/>
      <c r="U36" s="30"/>
      <c r="V36" s="30"/>
      <c r="W36" s="30"/>
      <c r="X36" s="30"/>
      <c r="Y36" s="30"/>
      <c r="Z36" s="30"/>
      <c r="AA36" s="30"/>
      <c r="AB36" s="30"/>
      <c r="AC36" s="30"/>
      <c r="AD36" s="30"/>
      <c r="AE36" s="30"/>
      <c r="AF36" s="30"/>
      <c r="AG36" s="30"/>
      <c r="AH36" s="30"/>
      <c r="AI36" s="30"/>
      <c r="AJ36" s="30"/>
      <c r="AK36" s="30"/>
      <c r="AL36" s="41"/>
      <c r="AM36" s="25">
        <f t="shared" si="0"/>
        <v>4</v>
      </c>
    </row>
    <row r="37" spans="1:39" x14ac:dyDescent="0.25">
      <c r="A37" s="15">
        <v>31</v>
      </c>
      <c r="B37" s="26" t="s">
        <v>5</v>
      </c>
      <c r="C37" s="35">
        <v>15109</v>
      </c>
      <c r="D37" s="28" t="s">
        <v>37</v>
      </c>
      <c r="E37" s="29"/>
      <c r="F37" s="29">
        <v>1</v>
      </c>
      <c r="G37" s="30">
        <v>1</v>
      </c>
      <c r="H37" s="30"/>
      <c r="I37" s="30">
        <v>1</v>
      </c>
      <c r="J37" s="30"/>
      <c r="K37" s="30">
        <v>1</v>
      </c>
      <c r="L37" s="39"/>
      <c r="M37" s="40"/>
      <c r="N37" s="40"/>
      <c r="O37" s="30"/>
      <c r="P37" s="30"/>
      <c r="Q37" s="30"/>
      <c r="R37" s="30"/>
      <c r="S37" s="30"/>
      <c r="T37" s="30"/>
      <c r="U37" s="30"/>
      <c r="V37" s="30"/>
      <c r="W37" s="30"/>
      <c r="X37" s="30"/>
      <c r="Y37" s="30"/>
      <c r="Z37" s="30"/>
      <c r="AA37" s="30"/>
      <c r="AB37" s="30"/>
      <c r="AC37" s="30"/>
      <c r="AD37" s="30"/>
      <c r="AE37" s="30"/>
      <c r="AF37" s="30"/>
      <c r="AG37" s="30"/>
      <c r="AH37" s="30"/>
      <c r="AI37" s="30"/>
      <c r="AJ37" s="30"/>
      <c r="AK37" s="30"/>
      <c r="AL37" s="41"/>
      <c r="AM37" s="25">
        <f t="shared" si="0"/>
        <v>4</v>
      </c>
    </row>
    <row r="38" spans="1:39" x14ac:dyDescent="0.25">
      <c r="A38" s="15">
        <v>32</v>
      </c>
      <c r="B38" s="26" t="s">
        <v>5</v>
      </c>
      <c r="C38" s="35">
        <v>15177</v>
      </c>
      <c r="D38" s="28" t="s">
        <v>93</v>
      </c>
      <c r="E38" s="29"/>
      <c r="F38" s="29">
        <v>1</v>
      </c>
      <c r="G38" s="30"/>
      <c r="H38" s="30">
        <v>1</v>
      </c>
      <c r="I38" s="30">
        <v>1</v>
      </c>
      <c r="J38" s="30">
        <v>1</v>
      </c>
      <c r="K38" s="30">
        <v>1</v>
      </c>
      <c r="L38" s="39"/>
      <c r="M38" s="40"/>
      <c r="N38" s="40"/>
      <c r="O38" s="30"/>
      <c r="P38" s="30"/>
      <c r="Q38" s="30"/>
      <c r="R38" s="30"/>
      <c r="S38" s="30"/>
      <c r="T38" s="30"/>
      <c r="U38" s="30"/>
      <c r="V38" s="30"/>
      <c r="W38" s="30"/>
      <c r="X38" s="30"/>
      <c r="Y38" s="30"/>
      <c r="Z38" s="30"/>
      <c r="AA38" s="30"/>
      <c r="AB38" s="30"/>
      <c r="AC38" s="30"/>
      <c r="AD38" s="30"/>
      <c r="AE38" s="30"/>
      <c r="AF38" s="30"/>
      <c r="AG38" s="30"/>
      <c r="AH38" s="30"/>
      <c r="AI38" s="30"/>
      <c r="AJ38" s="30"/>
      <c r="AK38" s="30"/>
      <c r="AL38" s="41"/>
      <c r="AM38" s="25">
        <f t="shared" si="0"/>
        <v>5</v>
      </c>
    </row>
    <row r="39" spans="1:39" x14ac:dyDescent="0.25">
      <c r="A39" s="15">
        <v>33</v>
      </c>
      <c r="B39" s="26" t="s">
        <v>5</v>
      </c>
      <c r="C39" s="35">
        <v>15249</v>
      </c>
      <c r="D39" s="28" t="s">
        <v>38</v>
      </c>
      <c r="E39" s="29"/>
      <c r="F39" s="29">
        <v>1</v>
      </c>
      <c r="G39" s="30">
        <v>1</v>
      </c>
      <c r="H39" s="30">
        <v>1</v>
      </c>
      <c r="I39" s="30">
        <v>1</v>
      </c>
      <c r="J39" s="30">
        <v>1</v>
      </c>
      <c r="K39" s="30">
        <v>1</v>
      </c>
      <c r="L39" s="39"/>
      <c r="M39" s="40"/>
      <c r="N39" s="40"/>
      <c r="O39" s="30"/>
      <c r="P39" s="30"/>
      <c r="Q39" s="30"/>
      <c r="R39" s="30"/>
      <c r="S39" s="30"/>
      <c r="T39" s="30"/>
      <c r="U39" s="30"/>
      <c r="V39" s="30"/>
      <c r="W39" s="30"/>
      <c r="X39" s="30"/>
      <c r="Y39" s="30"/>
      <c r="Z39" s="30"/>
      <c r="AA39" s="30"/>
      <c r="AB39" s="30"/>
      <c r="AC39" s="30"/>
      <c r="AD39" s="30"/>
      <c r="AE39" s="30"/>
      <c r="AF39" s="30"/>
      <c r="AG39" s="30"/>
      <c r="AH39" s="30"/>
      <c r="AI39" s="30"/>
      <c r="AJ39" s="30"/>
      <c r="AK39" s="30"/>
      <c r="AL39" s="41"/>
      <c r="AM39" s="25">
        <f t="shared" si="0"/>
        <v>6</v>
      </c>
    </row>
    <row r="40" spans="1:39" x14ac:dyDescent="0.25">
      <c r="A40" s="15">
        <v>34</v>
      </c>
      <c r="B40" s="26" t="s">
        <v>5</v>
      </c>
      <c r="C40" s="35">
        <v>15252</v>
      </c>
      <c r="D40" s="28" t="s">
        <v>39</v>
      </c>
      <c r="E40" s="29"/>
      <c r="F40" s="29">
        <v>1</v>
      </c>
      <c r="G40" s="30">
        <v>1</v>
      </c>
      <c r="H40" s="30">
        <v>1</v>
      </c>
      <c r="I40" s="30">
        <v>1</v>
      </c>
      <c r="J40" s="30">
        <v>1</v>
      </c>
      <c r="K40" s="30">
        <v>1</v>
      </c>
      <c r="L40" s="39"/>
      <c r="M40" s="40"/>
      <c r="N40" s="40"/>
      <c r="O40" s="30" t="s">
        <v>94</v>
      </c>
      <c r="P40" s="30"/>
      <c r="Q40" s="30"/>
      <c r="R40" s="30"/>
      <c r="S40" s="30"/>
      <c r="T40" s="30"/>
      <c r="U40" s="30"/>
      <c r="V40" s="30"/>
      <c r="W40" s="30"/>
      <c r="X40" s="30"/>
      <c r="Y40" s="30"/>
      <c r="Z40" s="30"/>
      <c r="AA40" s="30"/>
      <c r="AB40" s="30"/>
      <c r="AC40" s="30"/>
      <c r="AD40" s="30"/>
      <c r="AE40" s="30"/>
      <c r="AF40" s="30"/>
      <c r="AG40" s="30"/>
      <c r="AH40" s="30"/>
      <c r="AI40" s="30"/>
      <c r="AJ40" s="30"/>
      <c r="AK40" s="30"/>
      <c r="AL40" s="41"/>
      <c r="AM40" s="25">
        <f t="shared" si="0"/>
        <v>6</v>
      </c>
    </row>
    <row r="41" spans="1:39" x14ac:dyDescent="0.25">
      <c r="A41" s="15">
        <v>35</v>
      </c>
      <c r="B41" s="26" t="s">
        <v>5</v>
      </c>
      <c r="C41" s="35">
        <v>15289</v>
      </c>
      <c r="D41" s="28" t="s">
        <v>40</v>
      </c>
      <c r="E41" s="29"/>
      <c r="F41" s="29">
        <v>1</v>
      </c>
      <c r="G41" s="30">
        <v>1</v>
      </c>
      <c r="H41" s="30">
        <v>1</v>
      </c>
      <c r="I41" s="30">
        <v>1</v>
      </c>
      <c r="J41" s="30"/>
      <c r="K41" s="30">
        <v>1</v>
      </c>
      <c r="L41" s="39"/>
      <c r="M41" s="40"/>
      <c r="N41" s="40"/>
      <c r="O41" s="30"/>
      <c r="P41" s="30"/>
      <c r="Q41" s="30"/>
      <c r="R41" s="30"/>
      <c r="S41" s="30"/>
      <c r="T41" s="30"/>
      <c r="U41" s="30"/>
      <c r="V41" s="30"/>
      <c r="W41" s="30"/>
      <c r="X41" s="30"/>
      <c r="Y41" s="30"/>
      <c r="Z41" s="30"/>
      <c r="AA41" s="30"/>
      <c r="AB41" s="30"/>
      <c r="AC41" s="30"/>
      <c r="AD41" s="30"/>
      <c r="AE41" s="30"/>
      <c r="AF41" s="30"/>
      <c r="AG41" s="30"/>
      <c r="AH41" s="30"/>
      <c r="AI41" s="30"/>
      <c r="AJ41" s="30"/>
      <c r="AK41" s="30"/>
      <c r="AL41" s="41"/>
      <c r="AM41" s="25">
        <f t="shared" si="0"/>
        <v>5</v>
      </c>
    </row>
    <row r="42" spans="1:39" x14ac:dyDescent="0.25">
      <c r="A42" s="15">
        <v>36</v>
      </c>
      <c r="B42" s="26" t="s">
        <v>5</v>
      </c>
      <c r="C42" s="27">
        <v>15335</v>
      </c>
      <c r="D42" s="28" t="s">
        <v>41</v>
      </c>
      <c r="E42" s="29"/>
      <c r="F42" s="29">
        <v>1</v>
      </c>
      <c r="G42" s="30">
        <v>1</v>
      </c>
      <c r="H42" s="30">
        <v>1</v>
      </c>
      <c r="I42" s="30">
        <v>1</v>
      </c>
      <c r="J42" s="30"/>
      <c r="K42" s="30">
        <v>1</v>
      </c>
      <c r="L42" s="39"/>
      <c r="M42" s="40"/>
      <c r="N42" s="40"/>
      <c r="O42" s="30" t="s">
        <v>94</v>
      </c>
      <c r="P42" s="30"/>
      <c r="Q42" s="30"/>
      <c r="R42" s="30"/>
      <c r="S42" s="30"/>
      <c r="T42" s="30"/>
      <c r="U42" s="30"/>
      <c r="V42" s="30"/>
      <c r="W42" s="30"/>
      <c r="X42" s="30"/>
      <c r="Y42" s="30"/>
      <c r="Z42" s="30"/>
      <c r="AA42" s="30"/>
      <c r="AB42" s="30"/>
      <c r="AC42" s="30"/>
      <c r="AD42" s="30"/>
      <c r="AE42" s="30"/>
      <c r="AF42" s="30"/>
      <c r="AG42" s="30"/>
      <c r="AH42" s="30"/>
      <c r="AI42" s="30"/>
      <c r="AJ42" s="30"/>
      <c r="AK42" s="30"/>
      <c r="AL42" s="41"/>
      <c r="AM42" s="25">
        <f t="shared" si="0"/>
        <v>5</v>
      </c>
    </row>
    <row r="43" spans="1:39" x14ac:dyDescent="0.25">
      <c r="A43" s="15">
        <v>37</v>
      </c>
      <c r="B43" s="26" t="s">
        <v>5</v>
      </c>
      <c r="C43" s="27">
        <v>15387</v>
      </c>
      <c r="D43" s="28" t="s">
        <v>42</v>
      </c>
      <c r="E43" s="29"/>
      <c r="F43" s="29"/>
      <c r="G43" s="30">
        <v>1</v>
      </c>
      <c r="H43" s="30">
        <v>1</v>
      </c>
      <c r="I43" s="30">
        <v>1</v>
      </c>
      <c r="J43" s="30">
        <v>1</v>
      </c>
      <c r="K43" s="30">
        <v>1</v>
      </c>
      <c r="L43" s="39"/>
      <c r="M43" s="40"/>
      <c r="N43" s="40"/>
      <c r="O43" s="30" t="s">
        <v>94</v>
      </c>
      <c r="P43" s="30"/>
      <c r="Q43" s="30"/>
      <c r="R43" s="30"/>
      <c r="S43" s="30"/>
      <c r="T43" s="30"/>
      <c r="U43" s="30"/>
      <c r="V43" s="30"/>
      <c r="W43" s="30"/>
      <c r="X43" s="30"/>
      <c r="Y43" s="30"/>
      <c r="Z43" s="30"/>
      <c r="AA43" s="30"/>
      <c r="AB43" s="30"/>
      <c r="AC43" s="30"/>
      <c r="AD43" s="30"/>
      <c r="AE43" s="30"/>
      <c r="AF43" s="30"/>
      <c r="AG43" s="30"/>
      <c r="AH43" s="30"/>
      <c r="AI43" s="30"/>
      <c r="AJ43" s="30"/>
      <c r="AK43" s="30"/>
      <c r="AL43" s="41"/>
      <c r="AM43" s="25">
        <f t="shared" si="0"/>
        <v>5</v>
      </c>
    </row>
    <row r="44" spans="1:39" ht="14.25" customHeight="1" x14ac:dyDescent="0.25">
      <c r="A44" s="15">
        <v>38</v>
      </c>
      <c r="B44" s="26" t="s">
        <v>5</v>
      </c>
      <c r="C44" s="27">
        <v>15388</v>
      </c>
      <c r="D44" s="28" t="s">
        <v>43</v>
      </c>
      <c r="E44" s="29"/>
      <c r="F44" s="29">
        <v>1</v>
      </c>
      <c r="G44" s="30">
        <v>1</v>
      </c>
      <c r="H44" s="30">
        <v>1</v>
      </c>
      <c r="I44" s="30">
        <v>1</v>
      </c>
      <c r="J44" s="30">
        <v>1</v>
      </c>
      <c r="K44" s="30">
        <v>1</v>
      </c>
      <c r="L44" s="39"/>
      <c r="M44" s="40"/>
      <c r="N44" s="40"/>
      <c r="O44" s="30" t="s">
        <v>94</v>
      </c>
      <c r="P44" s="30"/>
      <c r="Q44" s="30"/>
      <c r="R44" s="30"/>
      <c r="S44" s="30"/>
      <c r="T44" s="30"/>
      <c r="U44" s="30"/>
      <c r="V44" s="30"/>
      <c r="W44" s="30"/>
      <c r="X44" s="30"/>
      <c r="Y44" s="30"/>
      <c r="Z44" s="30"/>
      <c r="AA44" s="30"/>
      <c r="AB44" s="30"/>
      <c r="AC44" s="30"/>
      <c r="AD44" s="30"/>
      <c r="AE44" s="30"/>
      <c r="AF44" s="30"/>
      <c r="AG44" s="30"/>
      <c r="AH44" s="30"/>
      <c r="AI44" s="30"/>
      <c r="AJ44" s="30"/>
      <c r="AK44" s="30"/>
      <c r="AL44" s="41"/>
      <c r="AM44" s="25">
        <f t="shared" si="0"/>
        <v>6</v>
      </c>
    </row>
    <row r="45" spans="1:39" x14ac:dyDescent="0.25">
      <c r="A45" s="15">
        <v>39</v>
      </c>
      <c r="B45" s="26" t="s">
        <v>5</v>
      </c>
      <c r="C45" s="27">
        <v>15397</v>
      </c>
      <c r="D45" s="28" t="s">
        <v>44</v>
      </c>
      <c r="E45" s="29"/>
      <c r="F45" s="29">
        <v>1</v>
      </c>
      <c r="G45" s="30">
        <v>1</v>
      </c>
      <c r="H45" s="30">
        <v>1</v>
      </c>
      <c r="I45" s="30">
        <v>1</v>
      </c>
      <c r="J45" s="30">
        <v>1</v>
      </c>
      <c r="K45" s="30">
        <v>1</v>
      </c>
      <c r="L45" s="39"/>
      <c r="M45" s="40"/>
      <c r="N45" s="40"/>
      <c r="O45" s="30" t="s">
        <v>94</v>
      </c>
      <c r="P45" s="30"/>
      <c r="Q45" s="30"/>
      <c r="R45" s="30"/>
      <c r="S45" s="30"/>
      <c r="T45" s="30"/>
      <c r="U45" s="30"/>
      <c r="V45" s="30"/>
      <c r="W45" s="30"/>
      <c r="X45" s="30"/>
      <c r="Y45" s="30"/>
      <c r="Z45" s="30"/>
      <c r="AA45" s="30"/>
      <c r="AB45" s="30"/>
      <c r="AC45" s="30"/>
      <c r="AD45" s="30"/>
      <c r="AE45" s="30"/>
      <c r="AF45" s="30"/>
      <c r="AG45" s="30"/>
      <c r="AH45" s="30"/>
      <c r="AI45" s="30"/>
      <c r="AJ45" s="30"/>
      <c r="AK45" s="30"/>
      <c r="AL45" s="41"/>
      <c r="AM45" s="25">
        <f t="shared" si="0"/>
        <v>6</v>
      </c>
    </row>
    <row r="46" spans="1:39" x14ac:dyDescent="0.25">
      <c r="A46" s="15">
        <v>40</v>
      </c>
      <c r="B46" s="26" t="s">
        <v>5</v>
      </c>
      <c r="C46" s="27">
        <v>15422</v>
      </c>
      <c r="D46" s="28" t="s">
        <v>45</v>
      </c>
      <c r="E46" s="29"/>
      <c r="F46" s="29">
        <v>1</v>
      </c>
      <c r="G46" s="30">
        <v>1</v>
      </c>
      <c r="H46" s="30">
        <v>1</v>
      </c>
      <c r="I46" s="30"/>
      <c r="J46" s="30">
        <v>1</v>
      </c>
      <c r="K46" s="30">
        <v>1</v>
      </c>
      <c r="L46" s="39"/>
      <c r="M46" s="40"/>
      <c r="N46" s="40"/>
      <c r="O46" s="30" t="s">
        <v>94</v>
      </c>
      <c r="P46" s="30"/>
      <c r="Q46" s="30"/>
      <c r="R46" s="30"/>
      <c r="S46" s="30"/>
      <c r="T46" s="30"/>
      <c r="U46" s="30"/>
      <c r="V46" s="30"/>
      <c r="W46" s="30"/>
      <c r="X46" s="30"/>
      <c r="Y46" s="30"/>
      <c r="Z46" s="30"/>
      <c r="AA46" s="30"/>
      <c r="AB46" s="30"/>
      <c r="AC46" s="30"/>
      <c r="AD46" s="30"/>
      <c r="AE46" s="30"/>
      <c r="AF46" s="30"/>
      <c r="AG46" s="30"/>
      <c r="AH46" s="30"/>
      <c r="AI46" s="30"/>
      <c r="AJ46" s="30"/>
      <c r="AK46" s="30"/>
      <c r="AL46" s="41"/>
      <c r="AM46" s="25">
        <f t="shared" si="0"/>
        <v>5</v>
      </c>
    </row>
    <row r="47" spans="1:39" x14ac:dyDescent="0.25">
      <c r="A47" s="15">
        <v>41</v>
      </c>
      <c r="B47" s="26" t="s">
        <v>5</v>
      </c>
      <c r="C47" s="27">
        <v>15469</v>
      </c>
      <c r="D47" s="28" t="s">
        <v>46</v>
      </c>
      <c r="E47" s="29"/>
      <c r="F47" s="29">
        <v>1</v>
      </c>
      <c r="G47" s="30">
        <v>1</v>
      </c>
      <c r="H47" s="30"/>
      <c r="I47" s="30">
        <v>1</v>
      </c>
      <c r="J47" s="30">
        <v>1</v>
      </c>
      <c r="K47" s="30">
        <v>1</v>
      </c>
      <c r="L47" s="39"/>
      <c r="M47" s="40"/>
      <c r="N47" s="40"/>
      <c r="O47" s="30" t="s">
        <v>94</v>
      </c>
      <c r="P47" s="30"/>
      <c r="Q47" s="30"/>
      <c r="R47" s="30"/>
      <c r="S47" s="30"/>
      <c r="T47" s="30"/>
      <c r="U47" s="30"/>
      <c r="V47" s="30"/>
      <c r="W47" s="30"/>
      <c r="X47" s="30"/>
      <c r="Y47" s="30"/>
      <c r="Z47" s="30"/>
      <c r="AA47" s="30"/>
      <c r="AB47" s="30"/>
      <c r="AC47" s="30"/>
      <c r="AD47" s="30"/>
      <c r="AE47" s="30"/>
      <c r="AF47" s="30"/>
      <c r="AG47" s="30"/>
      <c r="AH47" s="30"/>
      <c r="AI47" s="30"/>
      <c r="AJ47" s="30"/>
      <c r="AK47" s="30"/>
      <c r="AL47" s="41"/>
      <c r="AM47" s="25">
        <f t="shared" si="0"/>
        <v>5</v>
      </c>
    </row>
    <row r="48" spans="1:39" x14ac:dyDescent="0.25">
      <c r="A48" s="15">
        <v>42</v>
      </c>
      <c r="B48" s="26" t="s">
        <v>5</v>
      </c>
      <c r="C48" s="27">
        <v>15471</v>
      </c>
      <c r="D48" s="28" t="s">
        <v>47</v>
      </c>
      <c r="E48" s="29"/>
      <c r="F48" s="29">
        <v>1</v>
      </c>
      <c r="G48" s="30">
        <v>1</v>
      </c>
      <c r="H48" s="30"/>
      <c r="I48" s="30">
        <v>1</v>
      </c>
      <c r="J48" s="30"/>
      <c r="K48" s="30"/>
      <c r="L48" s="39"/>
      <c r="M48" s="40"/>
      <c r="N48" s="40"/>
      <c r="O48" s="30"/>
      <c r="P48" s="30"/>
      <c r="Q48" s="30"/>
      <c r="R48" s="30"/>
      <c r="S48" s="30"/>
      <c r="T48" s="30"/>
      <c r="U48" s="30"/>
      <c r="V48" s="30"/>
      <c r="W48" s="30"/>
      <c r="X48" s="30"/>
      <c r="Y48" s="30"/>
      <c r="Z48" s="30"/>
      <c r="AA48" s="30"/>
      <c r="AB48" s="30"/>
      <c r="AC48" s="30"/>
      <c r="AD48" s="30"/>
      <c r="AE48" s="30"/>
      <c r="AF48" s="30"/>
      <c r="AG48" s="30"/>
      <c r="AH48" s="30"/>
      <c r="AI48" s="30"/>
      <c r="AJ48" s="30"/>
      <c r="AK48" s="30"/>
      <c r="AL48" s="41"/>
      <c r="AM48" s="25">
        <f t="shared" si="0"/>
        <v>3</v>
      </c>
    </row>
    <row r="49" spans="1:39" x14ac:dyDescent="0.25">
      <c r="A49" s="15">
        <v>43</v>
      </c>
      <c r="B49" s="26" t="s">
        <v>5</v>
      </c>
      <c r="C49" s="27">
        <v>15563</v>
      </c>
      <c r="D49" s="28" t="s">
        <v>49</v>
      </c>
      <c r="E49" s="29"/>
      <c r="F49" s="29">
        <v>1</v>
      </c>
      <c r="G49" s="30">
        <v>1</v>
      </c>
      <c r="H49" s="30">
        <v>1</v>
      </c>
      <c r="I49" s="30">
        <v>1</v>
      </c>
      <c r="J49" s="30"/>
      <c r="K49" s="30">
        <v>1</v>
      </c>
      <c r="L49" s="39"/>
      <c r="M49" s="40"/>
      <c r="N49" s="40"/>
      <c r="O49" s="30"/>
      <c r="P49" s="30"/>
      <c r="Q49" s="30"/>
      <c r="R49" s="30"/>
      <c r="S49" s="30"/>
      <c r="T49" s="30"/>
      <c r="U49" s="30"/>
      <c r="V49" s="30"/>
      <c r="W49" s="30"/>
      <c r="X49" s="30"/>
      <c r="Y49" s="30"/>
      <c r="Z49" s="30"/>
      <c r="AA49" s="30"/>
      <c r="AB49" s="30"/>
      <c r="AC49" s="30"/>
      <c r="AD49" s="30"/>
      <c r="AE49" s="30"/>
      <c r="AF49" s="30"/>
      <c r="AG49" s="30"/>
      <c r="AH49" s="30"/>
      <c r="AI49" s="30"/>
      <c r="AJ49" s="30"/>
      <c r="AK49" s="30"/>
      <c r="AL49" s="41"/>
      <c r="AM49" s="25">
        <f t="shared" si="0"/>
        <v>5</v>
      </c>
    </row>
    <row r="50" spans="1:39" x14ac:dyDescent="0.25">
      <c r="A50" s="15">
        <v>44</v>
      </c>
      <c r="B50" s="26" t="s">
        <v>5</v>
      </c>
      <c r="C50" s="27">
        <v>15600</v>
      </c>
      <c r="D50" s="28" t="s">
        <v>48</v>
      </c>
      <c r="E50" s="29"/>
      <c r="F50" s="29">
        <v>1</v>
      </c>
      <c r="G50" s="30"/>
      <c r="H50" s="30">
        <v>1</v>
      </c>
      <c r="I50" s="30">
        <v>1</v>
      </c>
      <c r="J50" s="30">
        <v>1</v>
      </c>
      <c r="K50" s="30">
        <v>1</v>
      </c>
      <c r="L50" s="39"/>
      <c r="M50" s="40"/>
      <c r="N50" s="40"/>
      <c r="O50" s="30" t="s">
        <v>94</v>
      </c>
      <c r="P50" s="30"/>
      <c r="Q50" s="30"/>
      <c r="R50" s="30"/>
      <c r="S50" s="30"/>
      <c r="T50" s="30"/>
      <c r="U50" s="30"/>
      <c r="V50" s="30"/>
      <c r="W50" s="30"/>
      <c r="X50" s="30"/>
      <c r="Y50" s="30"/>
      <c r="Z50" s="30"/>
      <c r="AA50" s="30"/>
      <c r="AB50" s="30"/>
      <c r="AC50" s="30"/>
      <c r="AD50" s="30"/>
      <c r="AE50" s="30"/>
      <c r="AF50" s="30"/>
      <c r="AG50" s="30"/>
      <c r="AH50" s="30"/>
      <c r="AI50" s="30"/>
      <c r="AJ50" s="30"/>
      <c r="AK50" s="30"/>
      <c r="AL50" s="41"/>
      <c r="AM50" s="25">
        <f t="shared" si="0"/>
        <v>5</v>
      </c>
    </row>
    <row r="51" spans="1:39" x14ac:dyDescent="0.25">
      <c r="A51" s="15">
        <v>45</v>
      </c>
      <c r="B51" s="26" t="s">
        <v>5</v>
      </c>
      <c r="C51" s="27">
        <v>15601</v>
      </c>
      <c r="D51" s="28" t="s">
        <v>50</v>
      </c>
      <c r="E51" s="29"/>
      <c r="F51" s="29">
        <v>1</v>
      </c>
      <c r="G51" s="30">
        <v>1</v>
      </c>
      <c r="H51" s="30">
        <v>1</v>
      </c>
      <c r="I51" s="30">
        <v>1</v>
      </c>
      <c r="J51" s="30">
        <v>1</v>
      </c>
      <c r="K51" s="30">
        <v>1</v>
      </c>
      <c r="L51" s="39"/>
      <c r="M51" s="40"/>
      <c r="N51" s="40"/>
      <c r="O51" s="30"/>
      <c r="P51" s="30"/>
      <c r="Q51" s="30"/>
      <c r="R51" s="30"/>
      <c r="S51" s="30"/>
      <c r="T51" s="30"/>
      <c r="U51" s="30"/>
      <c r="V51" s="30"/>
      <c r="W51" s="30"/>
      <c r="X51" s="30"/>
      <c r="Y51" s="30"/>
      <c r="Z51" s="30"/>
      <c r="AA51" s="30"/>
      <c r="AB51" s="30"/>
      <c r="AC51" s="30"/>
      <c r="AD51" s="30"/>
      <c r="AE51" s="30"/>
      <c r="AF51" s="30"/>
      <c r="AG51" s="30"/>
      <c r="AH51" s="30"/>
      <c r="AI51" s="30"/>
      <c r="AJ51" s="30"/>
      <c r="AK51" s="30"/>
      <c r="AL51" s="41"/>
      <c r="AM51" s="25">
        <f t="shared" si="0"/>
        <v>6</v>
      </c>
    </row>
    <row r="52" spans="1:39" x14ac:dyDescent="0.25">
      <c r="A52" s="15">
        <v>46</v>
      </c>
      <c r="B52" s="26" t="s">
        <v>5</v>
      </c>
      <c r="C52" s="27">
        <v>15615</v>
      </c>
      <c r="D52" s="28" t="s">
        <v>51</v>
      </c>
      <c r="E52" s="29"/>
      <c r="F52" s="29">
        <v>1</v>
      </c>
      <c r="G52" s="30">
        <v>1</v>
      </c>
      <c r="H52" s="30"/>
      <c r="I52" s="30">
        <v>1</v>
      </c>
      <c r="J52" s="30"/>
      <c r="K52" s="30"/>
      <c r="L52" s="39"/>
      <c r="M52" s="40"/>
      <c r="N52" s="40"/>
      <c r="O52" s="30"/>
      <c r="P52" s="30"/>
      <c r="Q52" s="30"/>
      <c r="R52" s="30"/>
      <c r="S52" s="30"/>
      <c r="T52" s="30"/>
      <c r="U52" s="30"/>
      <c r="V52" s="30"/>
      <c r="W52" s="30"/>
      <c r="X52" s="30"/>
      <c r="Y52" s="30"/>
      <c r="Z52" s="30"/>
      <c r="AA52" s="30"/>
      <c r="AB52" s="30"/>
      <c r="AC52" s="30"/>
      <c r="AD52" s="30"/>
      <c r="AE52" s="30"/>
      <c r="AF52" s="30"/>
      <c r="AG52" s="30"/>
      <c r="AH52" s="30"/>
      <c r="AI52" s="30"/>
      <c r="AJ52" s="30"/>
      <c r="AK52" s="30"/>
      <c r="AL52" s="41"/>
      <c r="AM52" s="25">
        <f t="shared" si="0"/>
        <v>3</v>
      </c>
    </row>
    <row r="53" spans="1:39" x14ac:dyDescent="0.25">
      <c r="A53" s="15">
        <v>47</v>
      </c>
      <c r="B53" s="26" t="s">
        <v>5</v>
      </c>
      <c r="C53" s="27">
        <v>15664</v>
      </c>
      <c r="D53" s="28" t="s">
        <v>52</v>
      </c>
      <c r="E53" s="29"/>
      <c r="F53" s="29">
        <v>1</v>
      </c>
      <c r="G53" s="30">
        <v>1</v>
      </c>
      <c r="H53" s="30">
        <v>1</v>
      </c>
      <c r="I53" s="30">
        <v>1</v>
      </c>
      <c r="J53" s="30">
        <v>1</v>
      </c>
      <c r="K53" s="30">
        <v>1</v>
      </c>
      <c r="L53" s="39"/>
      <c r="M53" s="40"/>
      <c r="N53" s="40"/>
      <c r="O53" s="30" t="s">
        <v>94</v>
      </c>
      <c r="P53" s="30"/>
      <c r="Q53" s="30"/>
      <c r="R53" s="30"/>
      <c r="S53" s="30"/>
      <c r="T53" s="30"/>
      <c r="U53" s="30"/>
      <c r="V53" s="30"/>
      <c r="W53" s="30"/>
      <c r="X53" s="30"/>
      <c r="Y53" s="30"/>
      <c r="Z53" s="30"/>
      <c r="AA53" s="30"/>
      <c r="AB53" s="30"/>
      <c r="AC53" s="30"/>
      <c r="AD53" s="30"/>
      <c r="AE53" s="30"/>
      <c r="AF53" s="30"/>
      <c r="AG53" s="30"/>
      <c r="AH53" s="30"/>
      <c r="AI53" s="30"/>
      <c r="AJ53" s="30"/>
      <c r="AK53" s="30"/>
      <c r="AL53" s="41"/>
      <c r="AM53" s="25">
        <f t="shared" si="0"/>
        <v>6</v>
      </c>
    </row>
    <row r="54" spans="1:39" x14ac:dyDescent="0.25">
      <c r="A54" s="15">
        <v>48</v>
      </c>
      <c r="B54" s="26" t="s">
        <v>5</v>
      </c>
      <c r="C54" s="27">
        <v>15716</v>
      </c>
      <c r="D54" s="28" t="s">
        <v>53</v>
      </c>
      <c r="E54" s="29"/>
      <c r="F54" s="29">
        <v>1</v>
      </c>
      <c r="G54" s="30"/>
      <c r="H54" s="30"/>
      <c r="I54" s="30">
        <v>1</v>
      </c>
      <c r="J54" s="30"/>
      <c r="K54" s="30">
        <v>1</v>
      </c>
      <c r="L54" s="39"/>
      <c r="M54" s="40"/>
      <c r="N54" s="40"/>
      <c r="O54" s="30"/>
      <c r="P54" s="30"/>
      <c r="Q54" s="30"/>
      <c r="R54" s="30"/>
      <c r="S54" s="30"/>
      <c r="T54" s="30"/>
      <c r="U54" s="30"/>
      <c r="V54" s="30"/>
      <c r="W54" s="30"/>
      <c r="X54" s="30"/>
      <c r="Y54" s="30"/>
      <c r="Z54" s="30"/>
      <c r="AA54" s="30"/>
      <c r="AB54" s="30"/>
      <c r="AC54" s="30"/>
      <c r="AD54" s="30"/>
      <c r="AE54" s="30"/>
      <c r="AF54" s="30"/>
      <c r="AG54" s="30"/>
      <c r="AH54" s="30"/>
      <c r="AI54" s="30"/>
      <c r="AJ54" s="30"/>
      <c r="AK54" s="30"/>
      <c r="AL54" s="41"/>
      <c r="AM54" s="25">
        <f t="shared" si="0"/>
        <v>3</v>
      </c>
    </row>
    <row r="55" spans="1:39" x14ac:dyDescent="0.25">
      <c r="A55" s="15">
        <v>49</v>
      </c>
      <c r="B55" s="26" t="s">
        <v>5</v>
      </c>
      <c r="C55" s="27">
        <v>15747</v>
      </c>
      <c r="D55" s="28" t="s">
        <v>54</v>
      </c>
      <c r="E55" s="29"/>
      <c r="F55" s="29">
        <v>1</v>
      </c>
      <c r="G55" s="30">
        <v>1</v>
      </c>
      <c r="H55" s="30"/>
      <c r="I55" s="30">
        <v>1</v>
      </c>
      <c r="J55" s="30">
        <v>1</v>
      </c>
      <c r="K55" s="30">
        <v>1</v>
      </c>
      <c r="L55" s="39"/>
      <c r="M55" s="40"/>
      <c r="N55" s="40"/>
      <c r="O55" s="30"/>
      <c r="P55" s="30"/>
      <c r="Q55" s="30"/>
      <c r="R55" s="30"/>
      <c r="S55" s="30"/>
      <c r="T55" s="30"/>
      <c r="U55" s="30"/>
      <c r="V55" s="30"/>
      <c r="W55" s="30"/>
      <c r="X55" s="30"/>
      <c r="Y55" s="30"/>
      <c r="Z55" s="30"/>
      <c r="AA55" s="30"/>
      <c r="AB55" s="30"/>
      <c r="AC55" s="30"/>
      <c r="AD55" s="30"/>
      <c r="AE55" s="30"/>
      <c r="AF55" s="30"/>
      <c r="AG55" s="30"/>
      <c r="AH55" s="30"/>
      <c r="AI55" s="30"/>
      <c r="AJ55" s="30"/>
      <c r="AK55" s="30"/>
      <c r="AL55" s="41"/>
      <c r="AM55" s="25">
        <f t="shared" si="0"/>
        <v>5</v>
      </c>
    </row>
    <row r="56" spans="1:39" x14ac:dyDescent="0.25">
      <c r="A56" s="15">
        <v>50</v>
      </c>
      <c r="B56" s="26" t="s">
        <v>5</v>
      </c>
      <c r="C56" s="27">
        <v>15773</v>
      </c>
      <c r="D56" s="28" t="s">
        <v>55</v>
      </c>
      <c r="E56" s="29"/>
      <c r="F56" s="29">
        <v>1</v>
      </c>
      <c r="G56" s="30">
        <v>1</v>
      </c>
      <c r="H56" s="30">
        <v>1</v>
      </c>
      <c r="I56" s="30">
        <v>1</v>
      </c>
      <c r="J56" s="30">
        <v>1</v>
      </c>
      <c r="K56" s="30">
        <v>1</v>
      </c>
      <c r="L56" s="39"/>
      <c r="M56" s="40"/>
      <c r="N56" s="40"/>
      <c r="O56" s="30" t="s">
        <v>94</v>
      </c>
      <c r="P56" s="30"/>
      <c r="Q56" s="30"/>
      <c r="R56" s="30"/>
      <c r="S56" s="30"/>
      <c r="T56" s="30"/>
      <c r="U56" s="30"/>
      <c r="V56" s="30"/>
      <c r="W56" s="30"/>
      <c r="X56" s="30"/>
      <c r="Y56" s="30"/>
      <c r="Z56" s="30"/>
      <c r="AA56" s="30"/>
      <c r="AB56" s="30"/>
      <c r="AC56" s="30"/>
      <c r="AD56" s="30"/>
      <c r="AE56" s="30"/>
      <c r="AF56" s="30"/>
      <c r="AG56" s="30"/>
      <c r="AH56" s="30"/>
      <c r="AI56" s="30"/>
      <c r="AJ56" s="30"/>
      <c r="AK56" s="30"/>
      <c r="AL56" s="41"/>
      <c r="AM56" s="25">
        <f t="shared" si="0"/>
        <v>6</v>
      </c>
    </row>
    <row r="57" spans="1:39" ht="14.25" customHeight="1" x14ac:dyDescent="0.25">
      <c r="A57" s="15">
        <v>51</v>
      </c>
      <c r="B57" s="26" t="s">
        <v>5</v>
      </c>
      <c r="C57" s="27">
        <v>15777</v>
      </c>
      <c r="D57" s="28" t="s">
        <v>56</v>
      </c>
      <c r="E57" s="29"/>
      <c r="F57" s="29"/>
      <c r="G57" s="30">
        <v>1</v>
      </c>
      <c r="H57" s="30">
        <v>1</v>
      </c>
      <c r="I57" s="30">
        <v>1</v>
      </c>
      <c r="J57" s="30">
        <v>1</v>
      </c>
      <c r="K57" s="30">
        <v>1</v>
      </c>
      <c r="L57" s="39"/>
      <c r="M57" s="40"/>
      <c r="N57" s="40"/>
      <c r="O57" s="30" t="s">
        <v>94</v>
      </c>
      <c r="P57" s="30"/>
      <c r="Q57" s="30"/>
      <c r="R57" s="30"/>
      <c r="S57" s="30"/>
      <c r="T57" s="30"/>
      <c r="U57" s="30"/>
      <c r="V57" s="30"/>
      <c r="W57" s="30"/>
      <c r="X57" s="30"/>
      <c r="Y57" s="30"/>
      <c r="Z57" s="30"/>
      <c r="AA57" s="30"/>
      <c r="AB57" s="30"/>
      <c r="AC57" s="30"/>
      <c r="AD57" s="30"/>
      <c r="AE57" s="30"/>
      <c r="AF57" s="30"/>
      <c r="AG57" s="30"/>
      <c r="AH57" s="30"/>
      <c r="AI57" s="30"/>
      <c r="AJ57" s="30"/>
      <c r="AK57" s="30"/>
      <c r="AL57" s="41"/>
      <c r="AM57" s="25">
        <f t="shared" si="0"/>
        <v>5</v>
      </c>
    </row>
    <row r="58" spans="1:39" x14ac:dyDescent="0.25">
      <c r="A58" s="15">
        <v>52</v>
      </c>
      <c r="B58" s="26" t="s">
        <v>5</v>
      </c>
      <c r="C58" s="27">
        <v>15797</v>
      </c>
      <c r="D58" s="28" t="s">
        <v>57</v>
      </c>
      <c r="E58" s="29"/>
      <c r="F58" s="29">
        <v>1</v>
      </c>
      <c r="G58" s="30">
        <v>1</v>
      </c>
      <c r="H58" s="30">
        <v>1</v>
      </c>
      <c r="I58" s="30"/>
      <c r="J58" s="30">
        <v>1</v>
      </c>
      <c r="K58" s="30"/>
      <c r="L58" s="39"/>
      <c r="M58" s="40"/>
      <c r="N58" s="40"/>
      <c r="O58" s="30" t="s">
        <v>94</v>
      </c>
      <c r="P58" s="30"/>
      <c r="Q58" s="30"/>
      <c r="R58" s="30"/>
      <c r="S58" s="30"/>
      <c r="T58" s="30"/>
      <c r="U58" s="30"/>
      <c r="V58" s="30"/>
      <c r="W58" s="30"/>
      <c r="X58" s="30"/>
      <c r="Y58" s="30"/>
      <c r="Z58" s="30"/>
      <c r="AA58" s="30"/>
      <c r="AB58" s="30"/>
      <c r="AC58" s="30"/>
      <c r="AD58" s="30"/>
      <c r="AE58" s="30"/>
      <c r="AF58" s="30"/>
      <c r="AG58" s="30"/>
      <c r="AH58" s="30"/>
      <c r="AI58" s="30"/>
      <c r="AJ58" s="30"/>
      <c r="AK58" s="30"/>
      <c r="AL58" s="41"/>
      <c r="AM58" s="25">
        <f t="shared" si="0"/>
        <v>4</v>
      </c>
    </row>
    <row r="59" spans="1:39" x14ac:dyDescent="0.25">
      <c r="A59" s="15">
        <v>53</v>
      </c>
      <c r="B59" s="26" t="s">
        <v>5</v>
      </c>
      <c r="C59" s="27">
        <v>15804</v>
      </c>
      <c r="D59" s="28" t="s">
        <v>58</v>
      </c>
      <c r="E59" s="29"/>
      <c r="F59" s="29">
        <v>1</v>
      </c>
      <c r="G59" s="30"/>
      <c r="H59" s="30">
        <v>1</v>
      </c>
      <c r="I59" s="30"/>
      <c r="J59" s="30">
        <v>1</v>
      </c>
      <c r="K59" s="30">
        <v>1</v>
      </c>
      <c r="L59" s="39"/>
      <c r="M59" s="40"/>
      <c r="N59" s="40"/>
      <c r="O59" s="30"/>
      <c r="P59" s="30"/>
      <c r="Q59" s="30"/>
      <c r="R59" s="30"/>
      <c r="S59" s="30"/>
      <c r="T59" s="30"/>
      <c r="U59" s="30"/>
      <c r="V59" s="30"/>
      <c r="W59" s="30"/>
      <c r="X59" s="30"/>
      <c r="Y59" s="30"/>
      <c r="Z59" s="30"/>
      <c r="AA59" s="30"/>
      <c r="AB59" s="30"/>
      <c r="AC59" s="30"/>
      <c r="AD59" s="30"/>
      <c r="AE59" s="30"/>
      <c r="AF59" s="30"/>
      <c r="AG59" s="30"/>
      <c r="AH59" s="30"/>
      <c r="AI59" s="30"/>
      <c r="AJ59" s="30"/>
      <c r="AK59" s="30"/>
      <c r="AL59" s="41"/>
      <c r="AM59" s="25">
        <f t="shared" si="0"/>
        <v>4</v>
      </c>
    </row>
    <row r="60" spans="1:39" x14ac:dyDescent="0.25">
      <c r="A60" s="15">
        <v>54</v>
      </c>
      <c r="B60" s="26" t="s">
        <v>5</v>
      </c>
      <c r="C60" s="27">
        <v>15806</v>
      </c>
      <c r="D60" s="42" t="s">
        <v>59</v>
      </c>
      <c r="E60" s="43"/>
      <c r="F60" s="43">
        <v>1</v>
      </c>
      <c r="G60" s="44">
        <v>1</v>
      </c>
      <c r="H60" s="44">
        <v>1</v>
      </c>
      <c r="I60" s="30">
        <v>1</v>
      </c>
      <c r="J60" s="44">
        <v>1</v>
      </c>
      <c r="K60" s="44">
        <v>1</v>
      </c>
      <c r="L60" s="45"/>
      <c r="M60" s="46"/>
      <c r="N60" s="46"/>
      <c r="O60" s="44" t="s">
        <v>94</v>
      </c>
      <c r="P60" s="44"/>
      <c r="Q60" s="44"/>
      <c r="R60" s="44"/>
      <c r="S60" s="44"/>
      <c r="T60" s="44"/>
      <c r="U60" s="44"/>
      <c r="V60" s="44"/>
      <c r="W60" s="44"/>
      <c r="X60" s="44"/>
      <c r="Y60" s="44"/>
      <c r="Z60" s="44"/>
      <c r="AA60" s="44"/>
      <c r="AB60" s="44"/>
      <c r="AC60" s="44"/>
      <c r="AD60" s="44"/>
      <c r="AE60" s="44"/>
      <c r="AF60" s="44"/>
      <c r="AG60" s="44"/>
      <c r="AH60" s="44"/>
      <c r="AI60" s="44"/>
      <c r="AJ60" s="44"/>
      <c r="AK60" s="44"/>
      <c r="AL60" s="47"/>
      <c r="AM60" s="48">
        <f t="shared" si="0"/>
        <v>6</v>
      </c>
    </row>
    <row r="61" spans="1:39" s="49" customFormat="1" x14ac:dyDescent="0.25">
      <c r="A61" s="50"/>
      <c r="B61" s="51"/>
      <c r="C61" s="52"/>
      <c r="D61" s="53" t="s">
        <v>6</v>
      </c>
      <c r="E61" s="54"/>
      <c r="F61" s="55"/>
      <c r="G61" s="55"/>
      <c r="H61" s="55"/>
      <c r="I61" s="55"/>
      <c r="J61" s="55"/>
      <c r="K61" s="55"/>
      <c r="L61" s="56"/>
      <c r="M61" s="56"/>
      <c r="N61" s="56"/>
      <c r="O61" s="55"/>
      <c r="P61" s="55"/>
      <c r="Q61" s="55"/>
      <c r="R61" s="55"/>
      <c r="S61" s="55"/>
      <c r="T61" s="55"/>
      <c r="U61" s="55"/>
      <c r="V61" s="55"/>
      <c r="W61" s="55"/>
      <c r="X61" s="55"/>
      <c r="Y61" s="55"/>
      <c r="Z61" s="55"/>
      <c r="AA61" s="55"/>
      <c r="AB61" s="55"/>
      <c r="AC61" s="55"/>
      <c r="AD61" s="55"/>
      <c r="AE61" s="55"/>
      <c r="AF61" s="55"/>
      <c r="AG61" s="55"/>
      <c r="AH61" s="55"/>
      <c r="AI61" s="55"/>
      <c r="AJ61" s="55"/>
      <c r="AK61" s="57"/>
      <c r="AL61" s="58"/>
      <c r="AM61" s="59"/>
    </row>
    <row r="62" spans="1:39" s="60" customFormat="1" x14ac:dyDescent="0.25">
      <c r="A62" s="61"/>
      <c r="C62" s="62"/>
      <c r="D62" s="63"/>
      <c r="E62" s="2"/>
      <c r="F62" s="2"/>
      <c r="G62" s="2"/>
      <c r="H62" s="2"/>
      <c r="I62" s="2"/>
      <c r="J62" s="2"/>
      <c r="K62" s="2"/>
      <c r="L62" s="1"/>
      <c r="M62" s="1"/>
      <c r="N62" s="1"/>
      <c r="O62" s="64">
        <v>41190</v>
      </c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M62" s="65"/>
    </row>
    <row r="63" spans="1:39" x14ac:dyDescent="0.25">
      <c r="C63" s="66"/>
      <c r="D63" s="7"/>
    </row>
    <row r="76" spans="3:4" x14ac:dyDescent="0.25">
      <c r="C76" s="3" t="s">
        <v>92</v>
      </c>
      <c r="D76" s="64">
        <v>41157</v>
      </c>
    </row>
  </sheetData>
  <mergeCells count="25">
    <mergeCell ref="A3:A6"/>
    <mergeCell ref="E3:AM4"/>
    <mergeCell ref="A1:AJ1"/>
    <mergeCell ref="A2:AJ2"/>
    <mergeCell ref="AK5:AL5"/>
    <mergeCell ref="C3:C6"/>
    <mergeCell ref="B3:B6"/>
    <mergeCell ref="AA5:AB5"/>
    <mergeCell ref="AI5:AJ5"/>
    <mergeCell ref="D3:D6"/>
    <mergeCell ref="AE5:AF5"/>
    <mergeCell ref="M6:N6"/>
    <mergeCell ref="I5:J5"/>
    <mergeCell ref="AG5:AH5"/>
    <mergeCell ref="G5:H5"/>
    <mergeCell ref="E5:F5"/>
    <mergeCell ref="Y5:Z5"/>
    <mergeCell ref="AC5:AD5"/>
    <mergeCell ref="K5:L5"/>
    <mergeCell ref="U5:V5"/>
    <mergeCell ref="S5:T5"/>
    <mergeCell ref="Q5:R5"/>
    <mergeCell ref="O5:P5"/>
    <mergeCell ref="M5:N5"/>
    <mergeCell ref="W5:X5"/>
  </mergeCells>
  <printOptions horizontalCentered="1" verticalCentered="1"/>
  <pageMargins left="0.25" right="0.25" top="0.75" bottom="0.75" header="0.3" footer="0.3"/>
  <pageSetup paperSize="9" scale="69"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FF0000"/>
  </sheetPr>
  <dimension ref="A1:S48"/>
  <sheetViews>
    <sheetView topLeftCell="A19" zoomScale="84" zoomScaleNormal="84" workbookViewId="0">
      <selection activeCell="O36" sqref="O36"/>
    </sheetView>
  </sheetViews>
  <sheetFormatPr defaultRowHeight="15" x14ac:dyDescent="0.25"/>
  <cols>
    <col min="2" max="2" width="17.7109375" customWidth="1"/>
    <col min="4" max="4" width="14" customWidth="1"/>
    <col min="5" max="5" width="19" customWidth="1"/>
    <col min="6" max="6" width="21.28515625" bestFit="1" customWidth="1"/>
    <col min="19" max="19" width="12.140625" customWidth="1"/>
  </cols>
  <sheetData>
    <row r="1" spans="1:11" ht="22.5" customHeight="1" x14ac:dyDescent="0.25">
      <c r="A1" s="230" t="s">
        <v>126</v>
      </c>
      <c r="B1" s="230"/>
      <c r="C1" s="230"/>
      <c r="D1" s="230"/>
      <c r="E1" s="230"/>
      <c r="F1" s="230"/>
      <c r="G1" s="230"/>
      <c r="H1" s="230"/>
      <c r="I1" s="230"/>
      <c r="J1" s="230"/>
      <c r="K1" s="230"/>
    </row>
    <row r="2" spans="1:11" ht="22.5" customHeight="1" x14ac:dyDescent="0.25">
      <c r="A2" s="230"/>
      <c r="B2" s="230"/>
      <c r="C2" s="230"/>
      <c r="D2" s="230"/>
      <c r="E2" s="230"/>
      <c r="F2" s="230"/>
      <c r="G2" s="230"/>
      <c r="H2" s="230"/>
      <c r="I2" s="230"/>
      <c r="J2" s="230"/>
      <c r="K2" s="230"/>
    </row>
    <row r="3" spans="1:11" ht="20.25" customHeight="1" x14ac:dyDescent="0.25">
      <c r="A3" s="234" t="s">
        <v>127</v>
      </c>
      <c r="B3" s="234"/>
      <c r="C3" s="234"/>
      <c r="D3" s="234"/>
      <c r="E3" s="234"/>
      <c r="F3" s="234"/>
      <c r="G3" s="234"/>
      <c r="H3" s="234"/>
      <c r="I3" s="234"/>
      <c r="J3" s="234"/>
      <c r="K3" s="234"/>
    </row>
    <row r="4" spans="1:11" ht="20.25" customHeight="1" x14ac:dyDescent="0.25">
      <c r="A4" s="231" t="s">
        <v>183</v>
      </c>
      <c r="B4" s="231"/>
      <c r="C4" s="231"/>
      <c r="D4" s="231"/>
      <c r="E4" s="231"/>
      <c r="F4" s="231"/>
      <c r="G4" s="231"/>
      <c r="H4" s="231"/>
      <c r="I4" s="231"/>
      <c r="J4" s="231"/>
      <c r="K4" s="231"/>
    </row>
    <row r="5" spans="1:11" ht="15.75" customHeight="1" x14ac:dyDescent="0.25">
      <c r="A5" s="228" t="s">
        <v>184</v>
      </c>
      <c r="B5" s="228"/>
      <c r="C5" s="228"/>
      <c r="D5" s="228"/>
      <c r="E5" s="228"/>
      <c r="F5" s="228"/>
      <c r="G5" s="228"/>
      <c r="H5" s="228"/>
      <c r="I5" s="228"/>
      <c r="J5" s="228"/>
      <c r="K5" s="228"/>
    </row>
    <row r="6" spans="1:11" ht="15.75" customHeight="1" x14ac:dyDescent="0.25">
      <c r="A6" s="143" t="s">
        <v>157</v>
      </c>
      <c r="B6" s="143">
        <v>2018</v>
      </c>
      <c r="C6" s="97"/>
      <c r="D6" s="97"/>
      <c r="E6" s="97"/>
      <c r="F6" s="97"/>
      <c r="G6" s="97"/>
      <c r="H6" s="97"/>
      <c r="I6" s="97"/>
      <c r="J6" s="97"/>
      <c r="K6" s="97"/>
    </row>
    <row r="7" spans="1:11" ht="20.100000000000001" customHeight="1" x14ac:dyDescent="0.25">
      <c r="A7" s="232" t="s">
        <v>128</v>
      </c>
      <c r="B7" s="232"/>
      <c r="C7" s="232"/>
      <c r="D7" s="232"/>
      <c r="E7" s="232"/>
      <c r="F7" s="232"/>
      <c r="G7" s="232"/>
      <c r="H7" s="232"/>
      <c r="I7" s="232"/>
      <c r="J7" s="232"/>
      <c r="K7" s="232"/>
    </row>
    <row r="8" spans="1:11" ht="20.100000000000001" customHeight="1" x14ac:dyDescent="0.25">
      <c r="A8" s="233" t="s">
        <v>185</v>
      </c>
      <c r="B8" s="233"/>
      <c r="C8" s="233"/>
      <c r="D8" s="233"/>
      <c r="E8" s="233"/>
      <c r="F8" s="233"/>
      <c r="G8" s="233"/>
      <c r="H8" s="233"/>
      <c r="I8" s="233"/>
      <c r="J8" s="233"/>
      <c r="K8" s="83"/>
    </row>
    <row r="9" spans="1:11" ht="20.100000000000001" customHeight="1" x14ac:dyDescent="0.25">
      <c r="A9" s="232" t="s">
        <v>186</v>
      </c>
      <c r="B9" s="232"/>
      <c r="C9" s="232"/>
      <c r="D9" s="232"/>
      <c r="E9" s="232"/>
      <c r="F9" s="232"/>
      <c r="G9" s="232"/>
      <c r="H9" s="232"/>
      <c r="I9" s="232"/>
      <c r="J9" s="232"/>
      <c r="K9" s="232"/>
    </row>
    <row r="10" spans="1:11" ht="20.100000000000001" customHeight="1" x14ac:dyDescent="0.25">
      <c r="A10" s="232" t="s">
        <v>187</v>
      </c>
      <c r="B10" s="232"/>
      <c r="C10" s="232"/>
      <c r="D10" s="232"/>
      <c r="E10" s="232"/>
      <c r="F10" s="232"/>
      <c r="G10" s="232"/>
      <c r="H10" s="232"/>
      <c r="I10" s="232"/>
      <c r="J10" s="232"/>
      <c r="K10" s="232"/>
    </row>
    <row r="11" spans="1:11" ht="20.100000000000001" customHeight="1" x14ac:dyDescent="0.25">
      <c r="A11" s="222" t="s">
        <v>188</v>
      </c>
      <c r="B11" s="222"/>
      <c r="C11" s="222"/>
      <c r="D11" s="222"/>
      <c r="E11" s="222"/>
      <c r="F11" s="222"/>
      <c r="G11" s="222"/>
      <c r="H11" s="222"/>
      <c r="I11" s="222"/>
      <c r="J11" s="222"/>
      <c r="K11" s="222"/>
    </row>
    <row r="12" spans="1:11" ht="20.100000000000001" customHeight="1" x14ac:dyDescent="0.25">
      <c r="A12" s="222" t="s">
        <v>168</v>
      </c>
      <c r="B12" s="222"/>
      <c r="C12" s="222"/>
      <c r="D12" s="222"/>
      <c r="E12" s="157">
        <v>42</v>
      </c>
      <c r="F12" s="112"/>
      <c r="G12" s="112"/>
      <c r="H12" s="112"/>
      <c r="I12" s="112"/>
      <c r="J12" s="112"/>
      <c r="K12" s="112"/>
    </row>
    <row r="13" spans="1:11" ht="20.100000000000001" customHeight="1" x14ac:dyDescent="0.25">
      <c r="A13" s="222" t="s">
        <v>173</v>
      </c>
      <c r="B13" s="222"/>
      <c r="C13" s="222"/>
      <c r="D13" s="222"/>
      <c r="E13" s="222"/>
      <c r="F13" s="222"/>
      <c r="G13" s="222"/>
      <c r="H13" s="222"/>
      <c r="I13" s="222"/>
      <c r="J13" s="222"/>
      <c r="K13" s="222"/>
    </row>
    <row r="14" spans="1:11" ht="20.100000000000001" customHeight="1" x14ac:dyDescent="0.25">
      <c r="A14" s="113" t="s">
        <v>132</v>
      </c>
      <c r="B14" s="114"/>
      <c r="C14" s="115">
        <v>3</v>
      </c>
      <c r="D14" s="95"/>
      <c r="E14" s="95"/>
      <c r="F14" s="95"/>
      <c r="G14" s="95"/>
      <c r="H14" s="95"/>
      <c r="I14" s="95"/>
      <c r="J14" s="95"/>
      <c r="K14" s="95"/>
    </row>
    <row r="15" spans="1:11" ht="15.75" customHeight="1" x14ac:dyDescent="0.25">
      <c r="A15" s="116" t="s">
        <v>133</v>
      </c>
      <c r="B15" s="117"/>
      <c r="C15" s="118">
        <v>1</v>
      </c>
      <c r="I15" s="82"/>
    </row>
    <row r="16" spans="1:11" ht="15.75" customHeight="1" x14ac:dyDescent="0.25">
      <c r="A16" s="225" t="s">
        <v>134</v>
      </c>
      <c r="B16" s="225"/>
      <c r="C16" s="119">
        <f>C14+C15</f>
        <v>4</v>
      </c>
      <c r="I16" s="82"/>
    </row>
    <row r="17" spans="1:19" ht="15.75" customHeight="1" x14ac:dyDescent="0.25">
      <c r="A17" s="105"/>
      <c r="B17" s="105"/>
      <c r="C17" s="163"/>
      <c r="I17" s="82"/>
    </row>
    <row r="18" spans="1:19" ht="15.75" customHeight="1" x14ac:dyDescent="0.25">
      <c r="A18" s="221" t="s">
        <v>141</v>
      </c>
      <c r="B18" s="221"/>
      <c r="C18" s="221"/>
      <c r="D18" s="221"/>
      <c r="E18" s="221"/>
      <c r="F18" s="221"/>
      <c r="G18" s="221"/>
      <c r="H18" s="221"/>
      <c r="I18" s="82"/>
    </row>
    <row r="19" spans="1:19" ht="15.75" customHeight="1" x14ac:dyDescent="0.25">
      <c r="A19" s="108" t="s">
        <v>135</v>
      </c>
      <c r="B19" s="108" t="s">
        <v>136</v>
      </c>
      <c r="C19" s="119" t="s">
        <v>137</v>
      </c>
      <c r="D19" s="119" t="s">
        <v>138</v>
      </c>
      <c r="E19" s="119" t="s">
        <v>139</v>
      </c>
      <c r="F19" s="119" t="s">
        <v>100</v>
      </c>
      <c r="G19" s="119" t="s">
        <v>99</v>
      </c>
      <c r="H19" s="142" t="s">
        <v>0</v>
      </c>
      <c r="I19" s="82"/>
    </row>
    <row r="20" spans="1:19" ht="15.75" customHeight="1" x14ac:dyDescent="0.25">
      <c r="A20" s="100">
        <v>1</v>
      </c>
      <c r="B20" s="100">
        <v>1</v>
      </c>
      <c r="C20" s="102">
        <v>3</v>
      </c>
      <c r="D20" s="102">
        <v>2</v>
      </c>
      <c r="E20" s="102">
        <v>3</v>
      </c>
      <c r="F20" s="102">
        <v>12</v>
      </c>
      <c r="G20" s="102">
        <v>12</v>
      </c>
      <c r="H20" s="118">
        <f>SUM(E20,F20,G20)</f>
        <v>27</v>
      </c>
      <c r="I20" s="82"/>
    </row>
    <row r="21" spans="1:19" ht="15.75" customHeight="1" x14ac:dyDescent="0.25">
      <c r="A21" s="100">
        <v>2</v>
      </c>
      <c r="B21" s="102">
        <v>2</v>
      </c>
      <c r="C21" s="102">
        <v>3</v>
      </c>
      <c r="D21" s="102">
        <v>2</v>
      </c>
      <c r="E21" s="102">
        <v>4</v>
      </c>
      <c r="F21" s="102">
        <v>2</v>
      </c>
      <c r="G21" s="102">
        <v>23</v>
      </c>
      <c r="H21" s="118">
        <f t="shared" ref="H21:H23" si="0">SUM(E21,F21,G21)</f>
        <v>29</v>
      </c>
      <c r="I21" s="82"/>
    </row>
    <row r="22" spans="1:19" ht="15.75" customHeight="1" x14ac:dyDescent="0.25">
      <c r="A22" s="100">
        <v>3</v>
      </c>
      <c r="B22" s="102">
        <v>3</v>
      </c>
      <c r="C22" s="102">
        <v>1</v>
      </c>
      <c r="D22" s="102">
        <v>1</v>
      </c>
      <c r="E22" s="102">
        <v>3</v>
      </c>
      <c r="F22" s="102">
        <v>6</v>
      </c>
      <c r="G22" s="102">
        <v>15</v>
      </c>
      <c r="H22" s="118">
        <f t="shared" si="0"/>
        <v>24</v>
      </c>
      <c r="I22" s="82"/>
    </row>
    <row r="23" spans="1:19" ht="15.75" customHeight="1" x14ac:dyDescent="0.25">
      <c r="A23" s="100"/>
      <c r="B23" s="102"/>
      <c r="C23" s="102"/>
      <c r="D23" s="102"/>
      <c r="E23" s="102"/>
      <c r="F23" s="102"/>
      <c r="G23" s="102"/>
      <c r="H23" s="118">
        <f t="shared" si="0"/>
        <v>0</v>
      </c>
      <c r="I23" s="82"/>
    </row>
    <row r="24" spans="1:19" ht="15.75" customHeight="1" x14ac:dyDescent="0.25">
      <c r="A24" s="224" t="s">
        <v>140</v>
      </c>
      <c r="B24" s="224"/>
      <c r="C24" s="224"/>
      <c r="D24" s="224"/>
      <c r="E24" s="118">
        <f>SUM(E20:E23)</f>
        <v>10</v>
      </c>
      <c r="F24" s="118">
        <f>SUM(F20:F23)</f>
        <v>20</v>
      </c>
      <c r="G24" s="118">
        <f>SUM(G20:G23)</f>
        <v>50</v>
      </c>
      <c r="I24" s="82"/>
    </row>
    <row r="25" spans="1:19" ht="15.75" customHeight="1" x14ac:dyDescent="0.25">
      <c r="A25" s="224" t="s">
        <v>146</v>
      </c>
      <c r="B25" s="224"/>
      <c r="C25" s="224"/>
      <c r="D25" s="224"/>
      <c r="E25" s="101"/>
      <c r="F25" s="119">
        <f>SUM(E24,F24,G24)</f>
        <v>80</v>
      </c>
      <c r="G25" s="101"/>
      <c r="I25" s="82"/>
    </row>
    <row r="26" spans="1:19" ht="15.75" customHeight="1" x14ac:dyDescent="0.25">
      <c r="A26" s="103"/>
      <c r="B26" s="103"/>
      <c r="C26" s="103"/>
      <c r="D26" s="103"/>
      <c r="E26" s="104"/>
      <c r="F26" s="104"/>
      <c r="G26" s="104"/>
      <c r="I26" s="82"/>
    </row>
    <row r="27" spans="1:19" ht="15.75" customHeight="1" x14ac:dyDescent="0.25">
      <c r="A27" s="237" t="s">
        <v>143</v>
      </c>
      <c r="B27" s="237"/>
      <c r="C27" s="237"/>
      <c r="D27" s="237"/>
      <c r="E27" s="237"/>
      <c r="F27" s="237"/>
      <c r="G27" s="237"/>
      <c r="I27" s="82"/>
    </row>
    <row r="28" spans="1:19" ht="21" customHeight="1" x14ac:dyDescent="0.25">
      <c r="A28" s="108" t="s">
        <v>135</v>
      </c>
      <c r="B28" s="108" t="s">
        <v>136</v>
      </c>
      <c r="C28" s="108" t="s">
        <v>137</v>
      </c>
      <c r="D28" s="108" t="s">
        <v>138</v>
      </c>
      <c r="E28" s="109" t="s">
        <v>145</v>
      </c>
      <c r="F28" s="169" t="s">
        <v>176</v>
      </c>
      <c r="G28" s="107" t="s">
        <v>99</v>
      </c>
      <c r="H28" s="165" t="s">
        <v>0</v>
      </c>
      <c r="I28" s="167"/>
      <c r="J28" s="167" t="s">
        <v>179</v>
      </c>
      <c r="K28" s="167"/>
      <c r="L28" s="167"/>
      <c r="M28" s="167"/>
      <c r="N28" s="167"/>
      <c r="O28" s="167"/>
      <c r="P28" s="167"/>
      <c r="Q28" s="167"/>
      <c r="R28" s="167"/>
      <c r="S28" s="167"/>
    </row>
    <row r="29" spans="1:19" ht="21" customHeight="1" x14ac:dyDescent="0.25">
      <c r="A29" s="100">
        <v>1</v>
      </c>
      <c r="B29" s="100">
        <v>4</v>
      </c>
      <c r="C29" s="102">
        <v>3</v>
      </c>
      <c r="D29" s="102">
        <v>5</v>
      </c>
      <c r="E29" s="102">
        <v>10</v>
      </c>
      <c r="F29" s="102"/>
      <c r="G29" s="107">
        <v>10</v>
      </c>
      <c r="H29" s="118">
        <f>SUM(E29,F29,G29)</f>
        <v>20</v>
      </c>
      <c r="I29" s="168"/>
      <c r="J29" s="168" t="s">
        <v>180</v>
      </c>
      <c r="K29" s="168"/>
      <c r="L29" s="168"/>
      <c r="M29" s="168"/>
      <c r="N29" s="168"/>
      <c r="O29" s="168"/>
      <c r="P29" s="168"/>
      <c r="Q29" s="168"/>
      <c r="R29" s="168"/>
      <c r="S29" s="168"/>
    </row>
    <row r="30" spans="1:19" ht="21" customHeight="1" x14ac:dyDescent="0.25">
      <c r="A30" s="100">
        <v>2</v>
      </c>
      <c r="B30" s="102"/>
      <c r="C30" s="102"/>
      <c r="D30" s="102"/>
      <c r="E30" s="102"/>
      <c r="F30" s="102"/>
      <c r="G30" s="107"/>
      <c r="H30" s="118">
        <f t="shared" ref="H30:H31" si="1">SUM(E30,F30,G30)</f>
        <v>0</v>
      </c>
      <c r="I30" s="166"/>
      <c r="J30" s="166" t="s">
        <v>181</v>
      </c>
      <c r="K30" s="166"/>
      <c r="L30" s="166"/>
      <c r="M30" s="166"/>
      <c r="N30" s="166"/>
      <c r="O30" s="166"/>
      <c r="P30" s="166"/>
      <c r="Q30" s="166"/>
      <c r="R30" s="166"/>
      <c r="S30" s="166"/>
    </row>
    <row r="31" spans="1:19" ht="21" customHeight="1" x14ac:dyDescent="0.25">
      <c r="A31" s="100">
        <v>3</v>
      </c>
      <c r="B31" s="102"/>
      <c r="C31" s="102"/>
      <c r="D31" s="102"/>
      <c r="E31" s="102"/>
      <c r="F31" s="102"/>
      <c r="G31" s="107"/>
      <c r="H31" s="118">
        <f t="shared" si="1"/>
        <v>0</v>
      </c>
      <c r="I31" s="82"/>
      <c r="J31" s="176" t="s">
        <v>182</v>
      </c>
      <c r="K31" s="176"/>
      <c r="L31" s="176"/>
      <c r="M31" s="176"/>
      <c r="N31" s="176"/>
      <c r="O31" s="176"/>
      <c r="P31" s="176"/>
    </row>
    <row r="32" spans="1:19" ht="21" customHeight="1" x14ac:dyDescent="0.25">
      <c r="A32" s="224" t="s">
        <v>144</v>
      </c>
      <c r="B32" s="224"/>
      <c r="C32" s="224"/>
      <c r="D32" s="224"/>
      <c r="E32" s="107">
        <f>SUM(E29:E31)</f>
        <v>10</v>
      </c>
      <c r="F32" s="118">
        <f>SUM(F29:F31)</f>
        <v>0</v>
      </c>
      <c r="G32" s="107">
        <f>SUM(G29:G31)</f>
        <v>10</v>
      </c>
      <c r="I32" s="82"/>
    </row>
    <row r="33" spans="1:17" ht="21" customHeight="1" x14ac:dyDescent="0.25">
      <c r="A33" s="224" t="s">
        <v>147</v>
      </c>
      <c r="B33" s="224"/>
      <c r="C33" s="224"/>
      <c r="D33" s="224"/>
      <c r="E33" s="107"/>
      <c r="F33" s="107">
        <f>SUM(E32,F32,G32)</f>
        <v>20</v>
      </c>
      <c r="G33" s="106"/>
      <c r="I33" s="82"/>
    </row>
    <row r="34" spans="1:17" ht="52.5" customHeight="1" x14ac:dyDescent="0.25">
      <c r="A34" s="225" t="s">
        <v>148</v>
      </c>
      <c r="B34" s="225"/>
      <c r="C34" s="225"/>
      <c r="D34" s="225"/>
      <c r="E34" s="225"/>
      <c r="F34" s="109">
        <f>SUM(F25,F33)</f>
        <v>100</v>
      </c>
      <c r="G34" s="226" t="s">
        <v>149</v>
      </c>
      <c r="H34" s="227"/>
      <c r="I34" s="227"/>
      <c r="J34" s="227"/>
      <c r="K34" s="227"/>
      <c r="L34" s="227"/>
      <c r="M34" s="227"/>
      <c r="N34" s="227"/>
      <c r="O34" s="227"/>
      <c r="P34" s="227"/>
      <c r="Q34" s="227"/>
    </row>
    <row r="35" spans="1:17" ht="99.95" customHeight="1" x14ac:dyDescent="0.25">
      <c r="A35" s="235" t="s">
        <v>123</v>
      </c>
      <c r="B35" s="235"/>
      <c r="C35" s="235"/>
      <c r="D35" s="235"/>
      <c r="E35" s="235"/>
      <c r="F35" s="235"/>
      <c r="G35" s="235"/>
      <c r="H35" s="235"/>
      <c r="I35" s="235"/>
      <c r="J35" s="235"/>
      <c r="K35" s="235"/>
    </row>
    <row r="36" spans="1:17" ht="15.75" x14ac:dyDescent="0.25">
      <c r="A36" s="236" t="s">
        <v>125</v>
      </c>
      <c r="B36" s="236"/>
      <c r="C36" s="236"/>
      <c r="D36" s="236"/>
      <c r="E36" s="236"/>
      <c r="F36" s="236"/>
      <c r="G36" s="236"/>
      <c r="H36" s="236"/>
      <c r="I36" s="236"/>
      <c r="J36" s="236"/>
      <c r="K36" s="236"/>
    </row>
    <row r="37" spans="1:17" ht="15.75" x14ac:dyDescent="0.25">
      <c r="A37" s="81"/>
    </row>
    <row r="38" spans="1:17" ht="15.75" x14ac:dyDescent="0.25">
      <c r="A38" s="229" t="s">
        <v>121</v>
      </c>
      <c r="B38" s="229"/>
      <c r="C38" s="229"/>
      <c r="D38" s="229"/>
      <c r="E38" s="229"/>
      <c r="F38" s="229"/>
      <c r="G38" s="229"/>
      <c r="H38" s="229"/>
      <c r="I38" s="229"/>
      <c r="J38" s="229"/>
      <c r="K38" s="229"/>
    </row>
    <row r="39" spans="1:17" ht="15.75" x14ac:dyDescent="0.25">
      <c r="A39" s="120" t="s">
        <v>122</v>
      </c>
      <c r="B39" s="120"/>
      <c r="C39" s="120"/>
      <c r="D39" s="120"/>
      <c r="E39" s="120"/>
      <c r="F39" s="120"/>
      <c r="G39" s="120"/>
      <c r="H39" s="120"/>
      <c r="I39" s="120"/>
      <c r="J39" s="120"/>
      <c r="K39" s="120"/>
    </row>
    <row r="40" spans="1:17" x14ac:dyDescent="0.25">
      <c r="A40" s="121" t="s">
        <v>136</v>
      </c>
      <c r="B40" s="223" t="s">
        <v>105</v>
      </c>
      <c r="C40" s="223"/>
      <c r="D40" s="223"/>
      <c r="E40" s="223"/>
      <c r="F40" s="223"/>
      <c r="G40" s="223"/>
      <c r="H40" s="223"/>
      <c r="I40" s="223"/>
      <c r="J40" s="223"/>
      <c r="K40" s="223"/>
      <c r="L40" s="223"/>
      <c r="M40" s="223"/>
      <c r="N40" s="223"/>
      <c r="O40" s="223"/>
    </row>
    <row r="41" spans="1:17" x14ac:dyDescent="0.25">
      <c r="A41" s="118">
        <v>1</v>
      </c>
      <c r="B41" s="220" t="s">
        <v>231</v>
      </c>
      <c r="C41" s="219"/>
      <c r="D41" s="219"/>
      <c r="E41" s="219"/>
      <c r="F41" s="219"/>
      <c r="G41" s="219"/>
      <c r="H41" s="219"/>
      <c r="I41" s="219"/>
      <c r="J41" s="219"/>
      <c r="K41" s="219"/>
      <c r="L41" s="219"/>
      <c r="M41" s="219"/>
      <c r="N41" s="219"/>
      <c r="O41" s="219"/>
    </row>
    <row r="42" spans="1:17" x14ac:dyDescent="0.25">
      <c r="A42" s="118">
        <v>2</v>
      </c>
      <c r="B42" s="220" t="s">
        <v>232</v>
      </c>
      <c r="C42" s="219"/>
      <c r="D42" s="219"/>
      <c r="E42" s="219"/>
      <c r="F42" s="219"/>
      <c r="G42" s="219"/>
      <c r="H42" s="219"/>
      <c r="I42" s="219"/>
      <c r="J42" s="219"/>
      <c r="K42" s="219"/>
      <c r="L42" s="219"/>
      <c r="M42" s="219"/>
      <c r="N42" s="219"/>
      <c r="O42" s="219"/>
    </row>
    <row r="43" spans="1:17" x14ac:dyDescent="0.25">
      <c r="A43" s="118">
        <v>3</v>
      </c>
      <c r="B43" s="220" t="s">
        <v>234</v>
      </c>
      <c r="C43" s="219"/>
      <c r="D43" s="219"/>
      <c r="E43" s="219"/>
      <c r="F43" s="219"/>
      <c r="G43" s="219"/>
      <c r="H43" s="219"/>
      <c r="I43" s="219"/>
      <c r="J43" s="219"/>
      <c r="K43" s="219"/>
      <c r="L43" s="219"/>
      <c r="M43" s="219"/>
      <c r="N43" s="219"/>
      <c r="O43" s="219"/>
    </row>
    <row r="44" spans="1:17" x14ac:dyDescent="0.25">
      <c r="A44" s="118">
        <v>4</v>
      </c>
      <c r="B44" s="220" t="s">
        <v>233</v>
      </c>
      <c r="C44" s="219"/>
      <c r="D44" s="219"/>
      <c r="E44" s="219"/>
      <c r="F44" s="219"/>
      <c r="G44" s="219"/>
      <c r="H44" s="219"/>
      <c r="I44" s="219"/>
      <c r="J44" s="219"/>
      <c r="K44" s="219"/>
      <c r="L44" s="219"/>
      <c r="M44" s="219"/>
      <c r="N44" s="219"/>
      <c r="O44" s="219"/>
    </row>
    <row r="45" spans="1:17" x14ac:dyDescent="0.25">
      <c r="A45" s="118">
        <v>5</v>
      </c>
      <c r="B45" s="220"/>
      <c r="C45" s="219"/>
      <c r="D45" s="219"/>
      <c r="E45" s="219"/>
      <c r="F45" s="219"/>
      <c r="G45" s="219"/>
      <c r="H45" s="219"/>
      <c r="I45" s="219"/>
      <c r="J45" s="219"/>
      <c r="K45" s="219"/>
      <c r="L45" s="219"/>
      <c r="M45" s="219"/>
      <c r="N45" s="219"/>
      <c r="O45" s="219"/>
    </row>
    <row r="46" spans="1:17" x14ac:dyDescent="0.25">
      <c r="A46" s="164">
        <v>6</v>
      </c>
      <c r="B46" s="219"/>
      <c r="C46" s="219"/>
      <c r="D46" s="219"/>
      <c r="E46" s="219"/>
      <c r="F46" s="219"/>
      <c r="G46" s="219"/>
      <c r="H46" s="219"/>
      <c r="I46" s="219"/>
      <c r="J46" s="219"/>
      <c r="K46" s="219"/>
      <c r="L46" s="219"/>
      <c r="M46" s="219"/>
      <c r="N46" s="219"/>
      <c r="O46" s="219"/>
    </row>
    <row r="47" spans="1:17" x14ac:dyDescent="0.25">
      <c r="A47" s="164">
        <v>7</v>
      </c>
      <c r="B47" s="219"/>
      <c r="C47" s="219"/>
      <c r="D47" s="219"/>
      <c r="E47" s="219"/>
      <c r="F47" s="219"/>
      <c r="G47" s="219"/>
      <c r="H47" s="219"/>
      <c r="I47" s="219"/>
      <c r="J47" s="219"/>
      <c r="K47" s="219"/>
      <c r="L47" s="219"/>
      <c r="M47" s="219"/>
      <c r="N47" s="219"/>
      <c r="O47" s="219"/>
    </row>
    <row r="48" spans="1:17" x14ac:dyDescent="0.25">
      <c r="A48" s="104"/>
      <c r="B48" s="104"/>
      <c r="C48" s="104"/>
      <c r="D48" s="104"/>
      <c r="E48" s="104"/>
      <c r="F48" s="104"/>
      <c r="G48" s="104"/>
      <c r="H48" s="104"/>
      <c r="I48" s="104"/>
      <c r="J48" s="104"/>
      <c r="K48" s="104"/>
      <c r="L48" s="104"/>
      <c r="M48" s="104"/>
      <c r="N48" s="104"/>
      <c r="O48" s="104"/>
    </row>
  </sheetData>
  <mergeCells count="31">
    <mergeCell ref="A5:K5"/>
    <mergeCell ref="A38:K38"/>
    <mergeCell ref="A1:K2"/>
    <mergeCell ref="A4:K4"/>
    <mergeCell ref="A7:K7"/>
    <mergeCell ref="A8:J8"/>
    <mergeCell ref="A9:K9"/>
    <mergeCell ref="A10:K10"/>
    <mergeCell ref="A3:K3"/>
    <mergeCell ref="A35:K35"/>
    <mergeCell ref="A36:K36"/>
    <mergeCell ref="A16:B16"/>
    <mergeCell ref="A24:D24"/>
    <mergeCell ref="A25:D25"/>
    <mergeCell ref="A27:G27"/>
    <mergeCell ref="A32:D32"/>
    <mergeCell ref="A18:H18"/>
    <mergeCell ref="A11:K11"/>
    <mergeCell ref="A13:K13"/>
    <mergeCell ref="B40:O40"/>
    <mergeCell ref="B41:O41"/>
    <mergeCell ref="A12:D12"/>
    <mergeCell ref="A33:D33"/>
    <mergeCell ref="A34:E34"/>
    <mergeCell ref="G34:Q34"/>
    <mergeCell ref="B46:O46"/>
    <mergeCell ref="B47:O47"/>
    <mergeCell ref="B42:O42"/>
    <mergeCell ref="B43:O43"/>
    <mergeCell ref="B44:O44"/>
    <mergeCell ref="B45:O45"/>
  </mergeCells>
  <conditionalFormatting sqref="F34">
    <cfRule type="cellIs" dxfId="184" priority="45" operator="notEqual">
      <formula>100</formula>
    </cfRule>
    <cfRule type="cellIs" dxfId="183" priority="46" operator="equal">
      <formula>100</formula>
    </cfRule>
  </conditionalFormatting>
  <conditionalFormatting sqref="F24">
    <cfRule type="expression" dxfId="182" priority="3">
      <formula>$C$14=0</formula>
    </cfRule>
    <cfRule type="cellIs" dxfId="181" priority="43" operator="notEqual">
      <formula>20</formula>
    </cfRule>
    <cfRule type="cellIs" dxfId="180" priority="44" operator="equal">
      <formula>20</formula>
    </cfRule>
  </conditionalFormatting>
  <conditionalFormatting sqref="E24">
    <cfRule type="expression" dxfId="179" priority="4">
      <formula>$C$14=0</formula>
    </cfRule>
    <cfRule type="expression" dxfId="178" priority="29">
      <formula>IF(AND(E24&lt;&gt;10,C15&gt;0),1,0)</formula>
    </cfRule>
    <cfRule type="expression" dxfId="177" priority="30">
      <formula>IF(AND(E24=10,C15&gt;0),1,0)</formula>
    </cfRule>
    <cfRule type="expression" dxfId="176" priority="34">
      <formula>IF(AND(E24&lt;&gt;20,C15=0),1,0)</formula>
    </cfRule>
    <cfRule type="expression" dxfId="175" priority="35">
      <formula>AND(E24=20,C15=0)</formula>
    </cfRule>
  </conditionalFormatting>
  <conditionalFormatting sqref="G24">
    <cfRule type="expression" dxfId="174" priority="2">
      <formula>$C$14=0</formula>
    </cfRule>
    <cfRule type="expression" dxfId="173" priority="26">
      <formula>IF(AND(G24&lt;&gt;60,C15=0),1,0)</formula>
    </cfRule>
    <cfRule type="expression" dxfId="172" priority="27">
      <formula>IF(AND(G24&lt;&gt;50,C15&gt;0),1,0)</formula>
    </cfRule>
    <cfRule type="expression" dxfId="171" priority="28">
      <formula>IF(AND(G24=50,C15&gt;0),1,0)</formula>
    </cfRule>
    <cfRule type="expression" dxfId="170" priority="33">
      <formula>IF(AND(G24=60,C15=0),1,0)</formula>
    </cfRule>
  </conditionalFormatting>
  <conditionalFormatting sqref="F25">
    <cfRule type="expression" dxfId="169" priority="1">
      <formula>$C$14=0</formula>
    </cfRule>
    <cfRule type="expression" dxfId="168" priority="24">
      <formula>IF(AND(F25&lt;&gt;80,C15&gt;0),1,0)</formula>
    </cfRule>
    <cfRule type="expression" dxfId="167" priority="25">
      <formula>IF(AND(F25=80,C15&gt;0),1,0)</formula>
    </cfRule>
    <cfRule type="expression" dxfId="166" priority="31">
      <formula>IF(AND(F25&lt;&gt;100,C15=0),1,0)</formula>
    </cfRule>
    <cfRule type="expression" dxfId="165" priority="32">
      <formula>IF(AND(F25=100,C15=0),1,0)</formula>
    </cfRule>
  </conditionalFormatting>
  <conditionalFormatting sqref="E32">
    <cfRule type="expression" dxfId="164" priority="11">
      <formula>IF(AND(E32&lt;&gt;30,C15&gt;0,C14=0),1,0)</formula>
    </cfRule>
    <cfRule type="expression" dxfId="163" priority="14">
      <formula>IF(AND($C$14=0,E32=30,C15&gt;0),1,0)</formula>
    </cfRule>
    <cfRule type="expression" dxfId="162" priority="22">
      <formula>IF(AND(E32&lt;&gt;10,C15&gt;0,C14&gt;0),1,0)</formula>
    </cfRule>
    <cfRule type="expression" dxfId="161" priority="23">
      <formula>IF(AND($C$14&gt;0,E32=10,C15&gt;0),1,0)</formula>
    </cfRule>
  </conditionalFormatting>
  <conditionalFormatting sqref="F32">
    <cfRule type="expression" dxfId="160" priority="9">
      <formula>IF(AND(C14&gt;0,C15&gt;0,F32=0),1,0)</formula>
    </cfRule>
    <cfRule type="expression" dxfId="159" priority="10">
      <formula>IF(AND(C14&gt;0,C15&gt;0,F32=10),1,0)</formula>
    </cfRule>
    <cfRule type="expression" dxfId="158" priority="12">
      <formula>IF(AND(C14=0,C15&gt;0,F32&lt;&gt;20),1,0)</formula>
    </cfRule>
    <cfRule type="expression" dxfId="157" priority="13">
      <formula>IF(AND(C14=0,C15&gt;0,F32=20),1,0)</formula>
    </cfRule>
  </conditionalFormatting>
  <conditionalFormatting sqref="G32">
    <cfRule type="expression" dxfId="156" priority="5">
      <formula>IF(AND(C14&gt;0,C15&gt;0,G32&lt;&gt;10),1,0)</formula>
    </cfRule>
    <cfRule type="expression" dxfId="155" priority="6">
      <formula>IF(AND(C14&gt;0,C15&gt;0,G32=10),1,0)</formula>
    </cfRule>
    <cfRule type="expression" dxfId="154" priority="7">
      <formula>IF(AND(C14=0,C15&gt;0,G32&lt;&gt;50),1,0)</formula>
    </cfRule>
    <cfRule type="expression" dxfId="153" priority="8">
      <formula>IF(AND(C14=0,C15&gt;0,G32=50),1,0)</formula>
    </cfRule>
  </conditionalFormatting>
  <dataValidations count="5">
    <dataValidation type="custom" showInputMessage="1" showErrorMessage="1" error="Check Number of Theory and Lab CLOs" sqref="E24" xr:uid="{58CB6D41-CC00-454D-8613-7156DD167673}">
      <formula1>IF(C15=0,E24=20,E24=10)</formula1>
    </dataValidation>
    <dataValidation type="custom" showInputMessage="1" showErrorMessage="1" error="No Lab CLOs are defined for this Course. Kindly Check Cell C15." sqref="B29:E31" xr:uid="{2E743047-A1DB-4E0A-8D00-563DA6E174F5}">
      <formula1>$C$15&lt;&gt;0</formula1>
    </dataValidation>
    <dataValidation type="custom" showInputMessage="1" showErrorMessage="1" error="No Theory CLOs Defined for this Course, Kindly Check Cell C14" sqref="B20:G23" xr:uid="{8FFC3E09-B337-4BEA-9093-220F6F381734}">
      <formula1>$C$14&lt;&gt;0</formula1>
    </dataValidation>
    <dataValidation type="custom" showInputMessage="1" showErrorMessage="1" error="This is only active for Lab Only Course with no Theory CLO Defined" sqref="F29:F31" xr:uid="{F671D0D6-BB5F-4BF2-98AD-5AFF00218CD5}">
      <formula1>AND($C$15&lt;&gt;0,$C$14=0)</formula1>
    </dataValidation>
    <dataValidation type="custom" showInputMessage="1" showErrorMessage="1" error="No Lab CLOs defined for this Course. Kindly Check Cell C15" sqref="G29:G31" xr:uid="{7493C64E-C010-4A49-9E85-2A0BE305187D}">
      <formula1>$C$15&lt;&gt;0</formula1>
    </dataValidation>
  </dataValidations>
  <pageMargins left="0.7" right="0.7" top="0.75" bottom="0.75" header="0.3" footer="0.3"/>
  <pageSetup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1026" r:id="rId4" name="CommandButton1">
          <controlPr defaultSize="0" autoLine="0" r:id="rId5">
            <anchor moveWithCells="1">
              <from>
                <xdr:col>5</xdr:col>
                <xdr:colOff>95250</xdr:colOff>
                <xdr:row>10</xdr:row>
                <xdr:rowOff>190500</xdr:rowOff>
              </from>
              <to>
                <xdr:col>6</xdr:col>
                <xdr:colOff>419100</xdr:colOff>
                <xdr:row>12</xdr:row>
                <xdr:rowOff>123825</xdr:rowOff>
              </to>
            </anchor>
          </controlPr>
        </control>
      </mc:Choice>
      <mc:Fallback>
        <control shapeId="1026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50"/>
    <pageSetUpPr fitToPage="1"/>
  </sheetPr>
  <dimension ref="A1:JA1000"/>
  <sheetViews>
    <sheetView tabSelected="1" topLeftCell="A17" zoomScale="86" zoomScaleNormal="86" workbookViewId="0">
      <selection activeCell="P49" sqref="P49"/>
    </sheetView>
  </sheetViews>
  <sheetFormatPr defaultColWidth="9" defaultRowHeight="15" outlineLevelRow="1" x14ac:dyDescent="0.25"/>
  <cols>
    <col min="1" max="1" width="11.85546875" style="68" customWidth="1"/>
    <col min="2" max="2" width="13.7109375" style="68" customWidth="1"/>
    <col min="3" max="3" width="35.7109375" style="67" customWidth="1"/>
    <col min="4" max="11" width="7.5703125" style="69" customWidth="1"/>
    <col min="12" max="12" width="12.85546875" style="68" customWidth="1"/>
    <col min="13" max="20" width="6.85546875" style="68" customWidth="1"/>
    <col min="21" max="21" width="13.42578125" style="68" customWidth="1"/>
    <col min="22" max="23" width="9.42578125" style="68" customWidth="1"/>
    <col min="24" max="25" width="10.7109375" style="68" customWidth="1"/>
    <col min="26" max="27" width="9.7109375" style="68" customWidth="1"/>
    <col min="28" max="29" width="11.7109375" style="68" customWidth="1"/>
    <col min="30" max="30" width="12.5703125" style="68" customWidth="1"/>
    <col min="31" max="32" width="10.5703125" style="68" customWidth="1"/>
    <col min="33" max="36" width="10.85546875" style="68" customWidth="1"/>
    <col min="37" max="41" width="13.42578125" style="68" customWidth="1"/>
    <col min="42" max="42" width="11.7109375" style="68" customWidth="1"/>
    <col min="43" max="44" width="13.42578125" style="68" customWidth="1"/>
    <col min="45" max="48" width="11.7109375" style="68" customWidth="1"/>
    <col min="49" max="50" width="10.85546875" style="68" customWidth="1"/>
    <col min="51" max="51" width="13.42578125" style="68" customWidth="1"/>
    <col min="52" max="52" width="18.85546875" style="68" customWidth="1"/>
    <col min="53" max="53" width="17.42578125" style="68" customWidth="1"/>
    <col min="54" max="261" width="9.140625" style="67" customWidth="1"/>
  </cols>
  <sheetData>
    <row r="1" spans="1:261" ht="20.100000000000001" customHeight="1" x14ac:dyDescent="0.25">
      <c r="A1" s="261" t="str">
        <f>Outline!A8</f>
        <v>Course Title: Signals and Systems</v>
      </c>
      <c r="B1" s="261"/>
      <c r="C1" s="261"/>
      <c r="D1" s="261"/>
      <c r="E1" s="261"/>
      <c r="F1" s="261"/>
      <c r="G1" s="261"/>
      <c r="H1" s="261"/>
      <c r="I1" s="261"/>
      <c r="J1" s="261"/>
      <c r="K1" s="261"/>
      <c r="L1" s="261"/>
      <c r="M1" s="261"/>
      <c r="N1" s="261"/>
      <c r="O1" s="261"/>
      <c r="P1" s="261"/>
      <c r="Q1" s="261"/>
      <c r="R1" s="261"/>
      <c r="S1" s="261"/>
      <c r="T1" s="261"/>
      <c r="U1" s="261"/>
      <c r="V1" s="261"/>
      <c r="W1" s="261"/>
      <c r="X1" s="261"/>
      <c r="Y1" s="261"/>
      <c r="Z1" s="261"/>
      <c r="AA1" s="261"/>
      <c r="AB1" s="261"/>
      <c r="AC1" s="261"/>
      <c r="AD1" s="261"/>
      <c r="AE1" s="261"/>
      <c r="AF1" s="261"/>
      <c r="AG1" s="261"/>
      <c r="AH1" s="261"/>
      <c r="AI1" s="261"/>
      <c r="AJ1" s="261"/>
      <c r="AK1" s="261"/>
      <c r="AL1" s="261"/>
      <c r="AM1" s="261"/>
      <c r="AN1" s="261"/>
      <c r="AO1" s="261"/>
      <c r="AP1" s="261"/>
      <c r="AQ1" s="261"/>
      <c r="AR1" s="261"/>
      <c r="AS1" s="261"/>
      <c r="AT1" s="261"/>
      <c r="AU1" s="261"/>
      <c r="AV1" s="261"/>
      <c r="AW1" s="261"/>
      <c r="AX1" s="261"/>
      <c r="AY1" s="261"/>
      <c r="AZ1" s="261"/>
      <c r="BA1" s="261"/>
      <c r="IX1"/>
      <c r="IY1"/>
      <c r="IZ1"/>
      <c r="JA1"/>
    </row>
    <row r="2" spans="1:261" ht="20.100000000000001" customHeight="1" x14ac:dyDescent="0.25">
      <c r="A2" s="262" t="s">
        <v>156</v>
      </c>
      <c r="B2" s="262"/>
      <c r="C2" s="78" t="str">
        <f>Outline!A5</f>
        <v>B.E (CSE) 4thSemester</v>
      </c>
      <c r="D2" s="93" t="s">
        <v>155</v>
      </c>
      <c r="E2" s="93" t="str">
        <f>Outline!A3</f>
        <v>COMPUTER SYSTEMS ENGINEERING AND SCIENCES DEPARTMENT</v>
      </c>
      <c r="F2" s="93"/>
      <c r="G2" s="93"/>
      <c r="H2" s="93"/>
      <c r="I2" s="93"/>
      <c r="J2" s="78"/>
      <c r="K2" s="98"/>
      <c r="L2" s="78"/>
      <c r="M2" s="178"/>
      <c r="N2" s="98"/>
      <c r="O2" s="178"/>
      <c r="P2" s="98"/>
      <c r="Q2" s="178"/>
      <c r="R2" s="98"/>
      <c r="S2" s="78" t="str">
        <f>Outline!A7</f>
        <v>Session: Spring 2020</v>
      </c>
      <c r="T2" s="98"/>
      <c r="U2" s="78"/>
      <c r="V2" s="178"/>
      <c r="W2" s="98"/>
      <c r="X2" s="178"/>
      <c r="Y2" s="98"/>
      <c r="Z2" s="178" t="str">
        <f>Outline!A11</f>
        <v>Course Teacher: Dr.Wazir Muhammad</v>
      </c>
      <c r="AA2" s="98"/>
      <c r="AB2" s="94"/>
      <c r="AC2" s="98"/>
      <c r="AD2" s="78"/>
      <c r="AE2" s="178" t="s">
        <v>157</v>
      </c>
      <c r="AF2" s="98">
        <f>Outline!B6</f>
        <v>2018</v>
      </c>
      <c r="AG2" s="96"/>
      <c r="AH2" s="98"/>
      <c r="AI2" s="96"/>
      <c r="AJ2" s="98"/>
      <c r="AK2" s="94"/>
      <c r="AL2" s="98"/>
      <c r="AM2" s="98"/>
      <c r="AN2" s="98"/>
      <c r="AO2" s="98"/>
      <c r="AP2" s="98"/>
      <c r="AQ2" s="175"/>
      <c r="AR2" s="98"/>
      <c r="AS2" s="178"/>
      <c r="AT2" s="98"/>
      <c r="AU2" s="96"/>
      <c r="AV2" s="98"/>
      <c r="AW2" s="96"/>
      <c r="AX2" s="98"/>
      <c r="AY2" s="96"/>
      <c r="AZ2" s="78"/>
      <c r="BA2" s="78"/>
      <c r="IX2"/>
      <c r="IY2"/>
      <c r="IZ2"/>
      <c r="JA2"/>
    </row>
    <row r="3" spans="1:261" s="70" customFormat="1" ht="20.100000000000001" customHeight="1" thickBot="1" x14ac:dyDescent="0.3">
      <c r="A3" s="71"/>
      <c r="B3" s="71"/>
      <c r="C3" s="86"/>
      <c r="D3" s="86"/>
      <c r="E3" s="86"/>
      <c r="F3" s="86"/>
      <c r="G3" s="86"/>
      <c r="H3" s="86"/>
      <c r="I3" s="86"/>
      <c r="J3" s="86"/>
      <c r="K3" s="86"/>
      <c r="L3" s="86"/>
      <c r="M3" s="86"/>
      <c r="N3" s="86"/>
      <c r="O3" s="86"/>
      <c r="P3" s="86"/>
      <c r="Q3" s="86"/>
      <c r="R3" s="86"/>
      <c r="S3" s="86"/>
      <c r="T3" s="86"/>
      <c r="U3" s="86"/>
      <c r="V3" s="86"/>
      <c r="W3" s="86"/>
      <c r="X3" s="86"/>
      <c r="Y3" s="86"/>
      <c r="Z3" s="86"/>
      <c r="AA3" s="86"/>
      <c r="AB3" s="86"/>
      <c r="AC3" s="86"/>
      <c r="AD3" s="71"/>
      <c r="AE3" s="71"/>
      <c r="AF3" s="71"/>
      <c r="AG3" s="71"/>
      <c r="AH3" s="71"/>
      <c r="AI3" s="71"/>
      <c r="AJ3" s="71"/>
      <c r="AK3" s="71"/>
      <c r="AL3" s="71"/>
      <c r="AM3" s="71"/>
      <c r="AN3" s="71"/>
      <c r="AO3" s="71"/>
      <c r="AP3" s="71"/>
      <c r="AQ3" s="71"/>
      <c r="AR3" s="71"/>
      <c r="AS3" s="71"/>
      <c r="AT3" s="71"/>
      <c r="AU3" s="71"/>
      <c r="AV3" s="71"/>
      <c r="AW3" s="71"/>
      <c r="AX3" s="71"/>
      <c r="AY3" s="71"/>
      <c r="AZ3" s="71"/>
      <c r="BA3" s="71"/>
    </row>
    <row r="4" spans="1:261" ht="20.100000000000001" customHeight="1" thickBot="1" x14ac:dyDescent="0.3">
      <c r="A4" s="259" t="s">
        <v>108</v>
      </c>
      <c r="B4" s="259" t="s">
        <v>101</v>
      </c>
      <c r="C4" s="266" t="s">
        <v>2</v>
      </c>
      <c r="D4" s="259" t="s">
        <v>129</v>
      </c>
      <c r="E4" s="259"/>
      <c r="F4" s="259"/>
      <c r="G4" s="259"/>
      <c r="H4" s="259"/>
      <c r="I4" s="259"/>
      <c r="J4" s="259"/>
      <c r="K4" s="259"/>
      <c r="L4" s="259"/>
      <c r="M4" s="259"/>
      <c r="N4" s="259"/>
      <c r="O4" s="259"/>
      <c r="P4" s="259"/>
      <c r="Q4" s="259"/>
      <c r="R4" s="259"/>
      <c r="S4" s="259"/>
      <c r="T4" s="259"/>
      <c r="U4" s="259"/>
      <c r="V4" s="255" t="s">
        <v>174</v>
      </c>
      <c r="W4" s="256"/>
      <c r="X4" s="256"/>
      <c r="Y4" s="256"/>
      <c r="Z4" s="256"/>
      <c r="AA4" s="256"/>
      <c r="AB4" s="256"/>
      <c r="AC4" s="256"/>
      <c r="AD4" s="256"/>
      <c r="AE4" s="246" t="s">
        <v>131</v>
      </c>
      <c r="AF4" s="247"/>
      <c r="AG4" s="247"/>
      <c r="AH4" s="247"/>
      <c r="AI4" s="247"/>
      <c r="AJ4" s="247"/>
      <c r="AK4" s="248"/>
      <c r="AL4" s="252" t="s">
        <v>177</v>
      </c>
      <c r="AM4" s="253"/>
      <c r="AN4" s="253"/>
      <c r="AO4" s="253"/>
      <c r="AP4" s="253"/>
      <c r="AQ4" s="253"/>
      <c r="AR4" s="254"/>
      <c r="AS4" s="269" t="s">
        <v>130</v>
      </c>
      <c r="AT4" s="270"/>
      <c r="AU4" s="270"/>
      <c r="AV4" s="270"/>
      <c r="AW4" s="270"/>
      <c r="AX4" s="270"/>
      <c r="AY4" s="270"/>
      <c r="AZ4" s="249" t="s">
        <v>159</v>
      </c>
      <c r="BA4" s="271" t="s">
        <v>150</v>
      </c>
      <c r="IX4"/>
      <c r="IY4"/>
      <c r="IZ4"/>
      <c r="JA4"/>
    </row>
    <row r="5" spans="1:261" ht="20.100000000000001" customHeight="1" x14ac:dyDescent="0.25">
      <c r="A5" s="259"/>
      <c r="B5" s="259"/>
      <c r="C5" s="267"/>
      <c r="D5" s="257" t="s">
        <v>100</v>
      </c>
      <c r="E5" s="257"/>
      <c r="F5" s="258"/>
      <c r="G5" s="258"/>
      <c r="H5" s="258"/>
      <c r="I5" s="258"/>
      <c r="J5" s="258"/>
      <c r="K5" s="258"/>
      <c r="L5" s="258"/>
      <c r="M5" s="263" t="s">
        <v>99</v>
      </c>
      <c r="N5" s="263"/>
      <c r="O5" s="263"/>
      <c r="P5" s="263"/>
      <c r="Q5" s="263"/>
      <c r="R5" s="263"/>
      <c r="S5" s="263"/>
      <c r="T5" s="263"/>
      <c r="U5" s="263"/>
      <c r="V5" s="264"/>
      <c r="W5" s="264"/>
      <c r="X5" s="264"/>
      <c r="Y5" s="264"/>
      <c r="Z5" s="264"/>
      <c r="AA5" s="264"/>
      <c r="AB5" s="264"/>
      <c r="AC5" s="264"/>
      <c r="AD5" s="264"/>
      <c r="AE5" s="242" t="s">
        <v>136</v>
      </c>
      <c r="AF5" s="243"/>
      <c r="AG5" s="242" t="s">
        <v>136</v>
      </c>
      <c r="AH5" s="243"/>
      <c r="AI5" s="242" t="s">
        <v>136</v>
      </c>
      <c r="AJ5" s="243"/>
      <c r="AK5" s="240" t="s">
        <v>107</v>
      </c>
      <c r="AL5" s="242" t="s">
        <v>136</v>
      </c>
      <c r="AM5" s="243"/>
      <c r="AN5" s="242" t="s">
        <v>136</v>
      </c>
      <c r="AO5" s="243"/>
      <c r="AP5" s="242" t="s">
        <v>136</v>
      </c>
      <c r="AQ5" s="243"/>
      <c r="AR5" s="240" t="s">
        <v>178</v>
      </c>
      <c r="AS5" s="239"/>
      <c r="AT5" s="239"/>
      <c r="AU5" s="239"/>
      <c r="AV5" s="239"/>
      <c r="AW5" s="239"/>
      <c r="AX5" s="239"/>
      <c r="AY5" s="140"/>
      <c r="AZ5" s="249"/>
      <c r="BA5" s="271"/>
      <c r="IX5"/>
      <c r="IY5"/>
      <c r="IZ5"/>
      <c r="JA5"/>
    </row>
    <row r="6" spans="1:261" ht="20.100000000000001" customHeight="1" x14ac:dyDescent="0.25">
      <c r="A6" s="259"/>
      <c r="B6" s="259"/>
      <c r="C6" s="267"/>
      <c r="D6" s="260" t="s">
        <v>136</v>
      </c>
      <c r="E6" s="260"/>
      <c r="F6" s="260" t="s">
        <v>136</v>
      </c>
      <c r="G6" s="260"/>
      <c r="H6" s="260" t="s">
        <v>136</v>
      </c>
      <c r="I6" s="260"/>
      <c r="J6" s="260" t="s">
        <v>136</v>
      </c>
      <c r="K6" s="260"/>
      <c r="L6" s="260" t="s">
        <v>100</v>
      </c>
      <c r="M6" s="250" t="s">
        <v>136</v>
      </c>
      <c r="N6" s="250"/>
      <c r="O6" s="250" t="s">
        <v>136</v>
      </c>
      <c r="P6" s="250"/>
      <c r="Q6" s="250" t="s">
        <v>142</v>
      </c>
      <c r="R6" s="250"/>
      <c r="S6" s="250" t="s">
        <v>136</v>
      </c>
      <c r="T6" s="250"/>
      <c r="U6" s="250" t="s">
        <v>99</v>
      </c>
      <c r="V6" s="251" t="s">
        <v>136</v>
      </c>
      <c r="W6" s="251"/>
      <c r="X6" s="251" t="s">
        <v>136</v>
      </c>
      <c r="Y6" s="251"/>
      <c r="Z6" s="251" t="s">
        <v>136</v>
      </c>
      <c r="AA6" s="251"/>
      <c r="AB6" s="251" t="s">
        <v>136</v>
      </c>
      <c r="AC6" s="251"/>
      <c r="AD6" s="265" t="s">
        <v>0</v>
      </c>
      <c r="AE6" s="244"/>
      <c r="AF6" s="245"/>
      <c r="AG6" s="244"/>
      <c r="AH6" s="245"/>
      <c r="AI6" s="244"/>
      <c r="AJ6" s="245"/>
      <c r="AK6" s="241"/>
      <c r="AL6" s="244"/>
      <c r="AM6" s="245"/>
      <c r="AN6" s="244"/>
      <c r="AO6" s="245"/>
      <c r="AP6" s="244"/>
      <c r="AQ6" s="245"/>
      <c r="AR6" s="241"/>
      <c r="AS6" s="238" t="s">
        <v>136</v>
      </c>
      <c r="AT6" s="238"/>
      <c r="AU6" s="238" t="s">
        <v>136</v>
      </c>
      <c r="AV6" s="238"/>
      <c r="AW6" s="238" t="s">
        <v>136</v>
      </c>
      <c r="AX6" s="238"/>
      <c r="AY6" s="141" t="s">
        <v>107</v>
      </c>
      <c r="AZ6" s="249"/>
      <c r="BA6" s="271"/>
      <c r="IX6"/>
      <c r="IY6"/>
      <c r="IZ6"/>
      <c r="JA6"/>
    </row>
    <row r="7" spans="1:261" ht="20.100000000000001" customHeight="1" thickBot="1" x14ac:dyDescent="0.3">
      <c r="A7" s="259"/>
      <c r="B7" s="259"/>
      <c r="C7" s="267"/>
      <c r="D7" s="180">
        <f>Outline!$B$20</f>
        <v>1</v>
      </c>
      <c r="E7" s="125" t="s">
        <v>151</v>
      </c>
      <c r="F7" s="183">
        <f>Outline!$B$21</f>
        <v>2</v>
      </c>
      <c r="G7" s="125" t="s">
        <v>151</v>
      </c>
      <c r="H7" s="183">
        <f>Outline!$B$22</f>
        <v>3</v>
      </c>
      <c r="I7" s="125" t="s">
        <v>151</v>
      </c>
      <c r="J7" s="125">
        <f>Outline!$B$23</f>
        <v>0</v>
      </c>
      <c r="K7" s="125" t="s">
        <v>151</v>
      </c>
      <c r="L7" s="260"/>
      <c r="M7" s="185">
        <f>Outline!$B$20</f>
        <v>1</v>
      </c>
      <c r="N7" s="126" t="s">
        <v>151</v>
      </c>
      <c r="O7" s="185">
        <f>Outline!$B$21</f>
        <v>2</v>
      </c>
      <c r="P7" s="126" t="s">
        <v>151</v>
      </c>
      <c r="Q7" s="185">
        <f>Outline!$B$22</f>
        <v>3</v>
      </c>
      <c r="R7" s="126" t="s">
        <v>151</v>
      </c>
      <c r="S7" s="126">
        <f>Outline!$B$23</f>
        <v>0</v>
      </c>
      <c r="T7" s="126" t="s">
        <v>151</v>
      </c>
      <c r="U7" s="250"/>
      <c r="V7" s="185">
        <f>Outline!$B$20</f>
        <v>1</v>
      </c>
      <c r="W7" s="130" t="s">
        <v>151</v>
      </c>
      <c r="X7" s="185">
        <f>Outline!$B$21</f>
        <v>2</v>
      </c>
      <c r="Y7" s="130" t="s">
        <v>151</v>
      </c>
      <c r="Z7" s="185">
        <f>Outline!$B$22</f>
        <v>3</v>
      </c>
      <c r="AA7" s="130" t="s">
        <v>151</v>
      </c>
      <c r="AB7" s="130">
        <f>Outline!$B$23</f>
        <v>0</v>
      </c>
      <c r="AC7" s="130" t="s">
        <v>151</v>
      </c>
      <c r="AD7" s="265"/>
      <c r="AE7" s="189">
        <f>Outline!$B$29</f>
        <v>4</v>
      </c>
      <c r="AF7" s="172" t="s">
        <v>151</v>
      </c>
      <c r="AG7" s="172">
        <f>Outline!$B$30</f>
        <v>0</v>
      </c>
      <c r="AH7" s="172" t="s">
        <v>151</v>
      </c>
      <c r="AI7" s="172">
        <f>Outline!$B$31</f>
        <v>0</v>
      </c>
      <c r="AJ7" s="172" t="s">
        <v>151</v>
      </c>
      <c r="AK7" s="171" t="s">
        <v>0</v>
      </c>
      <c r="AL7" s="171">
        <f>Outline!$B$29</f>
        <v>4</v>
      </c>
      <c r="AM7" s="171" t="s">
        <v>151</v>
      </c>
      <c r="AN7" s="171">
        <f>Outline!$B$30</f>
        <v>0</v>
      </c>
      <c r="AO7" s="171" t="s">
        <v>151</v>
      </c>
      <c r="AP7" s="171">
        <f>Outline!$B$31</f>
        <v>0</v>
      </c>
      <c r="AQ7" s="171" t="s">
        <v>152</v>
      </c>
      <c r="AR7" s="171" t="s">
        <v>0</v>
      </c>
      <c r="AS7" s="183">
        <f>Outline!$B$29</f>
        <v>4</v>
      </c>
      <c r="AT7" s="141" t="s">
        <v>151</v>
      </c>
      <c r="AU7" s="141">
        <f>Outline!$B$30</f>
        <v>0</v>
      </c>
      <c r="AV7" s="141" t="s">
        <v>151</v>
      </c>
      <c r="AW7" s="141">
        <f>Outline!$B$31</f>
        <v>0</v>
      </c>
      <c r="AX7" s="141" t="s">
        <v>151</v>
      </c>
      <c r="AY7" s="141" t="s">
        <v>0</v>
      </c>
      <c r="AZ7" s="249"/>
      <c r="BA7" s="271"/>
      <c r="IX7"/>
      <c r="IY7"/>
      <c r="IZ7"/>
      <c r="JA7"/>
    </row>
    <row r="8" spans="1:261" ht="20.100000000000001" customHeight="1" thickBot="1" x14ac:dyDescent="0.3">
      <c r="A8" s="259"/>
      <c r="B8" s="259"/>
      <c r="C8" s="268"/>
      <c r="D8" s="181">
        <f>Outline!F20</f>
        <v>12</v>
      </c>
      <c r="E8" s="124" t="s">
        <v>153</v>
      </c>
      <c r="F8" s="183">
        <f>Outline!F21</f>
        <v>2</v>
      </c>
      <c r="G8" s="125" t="s">
        <v>153</v>
      </c>
      <c r="H8" s="183">
        <f>Outline!F22</f>
        <v>6</v>
      </c>
      <c r="I8" s="125" t="s">
        <v>153</v>
      </c>
      <c r="J8" s="125">
        <f>Outline!F23</f>
        <v>0</v>
      </c>
      <c r="K8" s="125" t="s">
        <v>153</v>
      </c>
      <c r="L8" s="156">
        <f t="shared" ref="L8:L38" si="0">SUM(D8,F8,H8,J8)</f>
        <v>20</v>
      </c>
      <c r="M8" s="186">
        <f>Outline!G20</f>
        <v>12</v>
      </c>
      <c r="N8" s="131" t="s">
        <v>153</v>
      </c>
      <c r="O8" s="186">
        <f>Outline!G21</f>
        <v>23</v>
      </c>
      <c r="P8" s="131" t="s">
        <v>153</v>
      </c>
      <c r="Q8" s="186">
        <f>Outline!G22</f>
        <v>15</v>
      </c>
      <c r="R8" s="131" t="s">
        <v>153</v>
      </c>
      <c r="S8" s="131">
        <f>Outline!G23</f>
        <v>0</v>
      </c>
      <c r="T8" s="131" t="s">
        <v>153</v>
      </c>
      <c r="U8" s="131">
        <f>SUM(M8,O8,Q8,S8)</f>
        <v>50</v>
      </c>
      <c r="V8" s="188">
        <f>Outline!E20</f>
        <v>3</v>
      </c>
      <c r="W8" s="123" t="s">
        <v>153</v>
      </c>
      <c r="X8" s="188">
        <f>Outline!E21</f>
        <v>4</v>
      </c>
      <c r="Y8" s="123" t="s">
        <v>153</v>
      </c>
      <c r="Z8" s="188">
        <f>Outline!E22</f>
        <v>3</v>
      </c>
      <c r="AA8" s="123" t="s">
        <v>153</v>
      </c>
      <c r="AB8" s="123">
        <f>Outline!E23</f>
        <v>0</v>
      </c>
      <c r="AC8" s="123" t="s">
        <v>153</v>
      </c>
      <c r="AD8" s="132">
        <f>SUM(V8:AB8)</f>
        <v>10</v>
      </c>
      <c r="AE8" s="190">
        <f>Outline!E29</f>
        <v>10</v>
      </c>
      <c r="AF8" s="173" t="s">
        <v>153</v>
      </c>
      <c r="AG8" s="174">
        <f>Outline!E30</f>
        <v>0</v>
      </c>
      <c r="AH8" s="173" t="s">
        <v>153</v>
      </c>
      <c r="AI8" s="172">
        <f>Outline!E31</f>
        <v>0</v>
      </c>
      <c r="AJ8" s="172" t="s">
        <v>153</v>
      </c>
      <c r="AK8" s="172">
        <f>SUM(AE8:AI8)</f>
        <v>10</v>
      </c>
      <c r="AL8" s="172">
        <f>Outline!F29</f>
        <v>0</v>
      </c>
      <c r="AM8" s="172" t="s">
        <v>153</v>
      </c>
      <c r="AN8" s="172">
        <f>Outline!F30</f>
        <v>0</v>
      </c>
      <c r="AO8" s="172" t="s">
        <v>153</v>
      </c>
      <c r="AP8" s="172">
        <f>Outline!F31</f>
        <v>0</v>
      </c>
      <c r="AQ8" s="172" t="s">
        <v>153</v>
      </c>
      <c r="AR8" s="172">
        <f>SUM(AL8,AN8,AP8)</f>
        <v>0</v>
      </c>
      <c r="AS8" s="189">
        <f>Outline!G29</f>
        <v>10</v>
      </c>
      <c r="AT8" s="110" t="s">
        <v>153</v>
      </c>
      <c r="AU8" s="110">
        <f>Outline!G30</f>
        <v>0</v>
      </c>
      <c r="AV8" s="110" t="s">
        <v>153</v>
      </c>
      <c r="AW8" s="110">
        <f>Outline!G31</f>
        <v>0</v>
      </c>
      <c r="AX8" s="110" t="s">
        <v>153</v>
      </c>
      <c r="AY8" s="110">
        <f>SUM(AS8,AU8,AW8)</f>
        <v>10</v>
      </c>
      <c r="AZ8" s="133">
        <f>SUM(AK8,AR8,AY8)</f>
        <v>20</v>
      </c>
      <c r="BA8" s="162">
        <f>SUM(L8,U8,AD8,AK8,AR8,AY8)</f>
        <v>100</v>
      </c>
      <c r="IX8"/>
      <c r="IY8"/>
      <c r="IZ8"/>
      <c r="JA8"/>
    </row>
    <row r="9" spans="1:261" ht="20.100000000000001" customHeight="1" outlineLevel="1" thickBot="1" x14ac:dyDescent="0.3">
      <c r="A9" s="144">
        <v>1</v>
      </c>
      <c r="B9" s="146" t="s">
        <v>189</v>
      </c>
      <c r="C9" s="151"/>
      <c r="D9" s="182">
        <v>11</v>
      </c>
      <c r="E9" s="158">
        <f t="shared" ref="E9:E50" si="1">IF($D$8=0,"NA",D9/$D$8)</f>
        <v>0.91666666666666663</v>
      </c>
      <c r="F9" s="184">
        <v>2</v>
      </c>
      <c r="G9" s="158">
        <f>IF($F$8=0,"NA",F9/$F$8)</f>
        <v>1</v>
      </c>
      <c r="H9" s="184">
        <v>4</v>
      </c>
      <c r="I9" s="158">
        <f>IF($H$8=0,"NA",H9/$H$8)</f>
        <v>0.66666666666666663</v>
      </c>
      <c r="J9" s="144"/>
      <c r="K9" s="158" t="str">
        <f>IF($J$8=0,"NA",J9/$J$8)</f>
        <v>NA</v>
      </c>
      <c r="L9" s="135">
        <f t="shared" si="0"/>
        <v>17</v>
      </c>
      <c r="M9" s="187">
        <v>9</v>
      </c>
      <c r="N9" s="159">
        <f>IF($M$8=0,"NA",M9/$M$8)</f>
        <v>0.75</v>
      </c>
      <c r="O9" s="187">
        <v>12</v>
      </c>
      <c r="P9" s="159">
        <f>IF($O$8=0,"NA",O9/$O$8)</f>
        <v>0.52173913043478259</v>
      </c>
      <c r="Q9" s="187">
        <v>8</v>
      </c>
      <c r="R9" s="159">
        <f>IF($Q$8=0,"NA",Q9/$Q$8)</f>
        <v>0.53333333333333333</v>
      </c>
      <c r="S9" s="145"/>
      <c r="T9" s="159" t="str">
        <f>IF($S$8=0,"NA",S9/$S$8)</f>
        <v>NA</v>
      </c>
      <c r="U9" s="136">
        <f t="shared" ref="U9:U50" si="2">SUM(M9,O9,Q9,S9)</f>
        <v>29</v>
      </c>
      <c r="V9" s="184">
        <v>2</v>
      </c>
      <c r="W9" s="160">
        <f>IF($V$8=0,"NA",V9/$V$8)</f>
        <v>0.66666666666666663</v>
      </c>
      <c r="X9" s="184">
        <v>3</v>
      </c>
      <c r="Y9" s="160">
        <f>IF($X$8=0,"NA",X9/$X$8)</f>
        <v>0.75</v>
      </c>
      <c r="Z9" s="184">
        <v>2</v>
      </c>
      <c r="AA9" s="160">
        <f>IF($Z$8=0,"NA",Z9/$Z$8)</f>
        <v>0.66666666666666663</v>
      </c>
      <c r="AB9" s="144"/>
      <c r="AC9" s="160" t="str">
        <f t="shared" ref="AC9:AC50" si="3">IF($AB$8=0,"NA",AB9/$AB$8)</f>
        <v>NA</v>
      </c>
      <c r="AD9" s="137">
        <f>SUM(V9,X9,Z9,AB9)</f>
        <v>7</v>
      </c>
      <c r="AE9" s="191">
        <v>10</v>
      </c>
      <c r="AF9" s="129">
        <f>IF($AE$8=0,"NA",AE9/$AE$8)</f>
        <v>1</v>
      </c>
      <c r="AG9" s="128"/>
      <c r="AH9" s="129" t="str">
        <f>IF($AG$8=0,"NA",AG9/$AG$8)</f>
        <v>NA</v>
      </c>
      <c r="AI9" s="128"/>
      <c r="AJ9" s="129" t="str">
        <f>IF($AI$8=0,"NA",AI9/$AI$8)</f>
        <v>NA</v>
      </c>
      <c r="AK9" s="127">
        <f>SUM(AE9,AG9,AI9)</f>
        <v>10</v>
      </c>
      <c r="AL9" s="127"/>
      <c r="AM9" s="170" t="str">
        <f>IF(AND($AL$7&lt;&gt;0,$AL$8&lt;&gt;0),AL9/$AL$8,"NA")</f>
        <v>NA</v>
      </c>
      <c r="AN9" s="127"/>
      <c r="AO9" s="170" t="str">
        <f>IF(AND($AN$7&lt;&gt;0,$AN$8&lt;&gt;0),AN9/$AN$8,"NA")</f>
        <v>NA</v>
      </c>
      <c r="AP9" s="127"/>
      <c r="AQ9" s="170" t="str">
        <f>IF(AND($AP$7&lt;&gt;0,$AP$8&lt;&gt;0),AP9/$AP$8,"NA")</f>
        <v>NA</v>
      </c>
      <c r="AR9" s="127">
        <f>SUM(AL9,AN9,AP9)</f>
        <v>0</v>
      </c>
      <c r="AS9" s="191">
        <v>9</v>
      </c>
      <c r="AT9" s="129">
        <f>IF($AS$8=0,"NA",AS9/$AS$8)</f>
        <v>0.9</v>
      </c>
      <c r="AU9" s="128"/>
      <c r="AV9" s="129" t="str">
        <f>IF($AU$8=0,"NA",AU9/$AU$8)</f>
        <v>NA</v>
      </c>
      <c r="AW9" s="128"/>
      <c r="AX9" s="129" t="str">
        <f>IF($AW$8=0,"NA",AW9/$AW$8)</f>
        <v>NA</v>
      </c>
      <c r="AY9" s="127">
        <f>SUM(AS9,AU9,AW9)</f>
        <v>9</v>
      </c>
      <c r="AZ9" s="161">
        <f>SUM(AK9,AR9,AY9)</f>
        <v>19</v>
      </c>
      <c r="BA9" s="162">
        <f>SUM(L9,U9,AD9,AK9,AR9,AY9)</f>
        <v>72</v>
      </c>
      <c r="IX9"/>
      <c r="IY9"/>
      <c r="IZ9"/>
      <c r="JA9"/>
    </row>
    <row r="10" spans="1:261" ht="20.100000000000001" customHeight="1" outlineLevel="1" thickBot="1" x14ac:dyDescent="0.3">
      <c r="A10" s="144">
        <f>IF((A9+1)&lt;=Outline!$E$12,A9+1,0)</f>
        <v>2</v>
      </c>
      <c r="B10" s="146" t="s">
        <v>190</v>
      </c>
      <c r="C10" s="152"/>
      <c r="D10" s="182">
        <v>12</v>
      </c>
      <c r="E10" s="158">
        <f t="shared" si="1"/>
        <v>1</v>
      </c>
      <c r="F10" s="184">
        <v>2</v>
      </c>
      <c r="G10" s="158">
        <f t="shared" ref="G10:G50" si="4">IF($F$8=0,"NA",F10/$F$8)</f>
        <v>1</v>
      </c>
      <c r="H10" s="184">
        <v>4</v>
      </c>
      <c r="I10" s="158">
        <f t="shared" ref="I10:I50" si="5">IF($H$8=0,"NA",H10/$H$8)</f>
        <v>0.66666666666666663</v>
      </c>
      <c r="J10" s="144"/>
      <c r="K10" s="158" t="str">
        <f t="shared" ref="K10:K50" si="6">IF($J$8=0,"NA",J10/$J$8)</f>
        <v>NA</v>
      </c>
      <c r="L10" s="135">
        <f t="shared" si="0"/>
        <v>18</v>
      </c>
      <c r="M10" s="187">
        <v>10</v>
      </c>
      <c r="N10" s="159">
        <f t="shared" ref="N10:N50" si="7">IF($M$8=0,"NA",M10/$M$8)</f>
        <v>0.83333333333333337</v>
      </c>
      <c r="O10" s="187">
        <v>16</v>
      </c>
      <c r="P10" s="159">
        <f t="shared" ref="P10:P50" si="8">IF($O$8=0,"NA",O10/$O$8)</f>
        <v>0.69565217391304346</v>
      </c>
      <c r="Q10" s="187">
        <v>10</v>
      </c>
      <c r="R10" s="159">
        <f t="shared" ref="R10:R50" si="9">IF($Q$8=0,"NA",Q10/$Q$8)</f>
        <v>0.66666666666666663</v>
      </c>
      <c r="S10" s="145"/>
      <c r="T10" s="159" t="str">
        <f t="shared" ref="T10:T50" si="10">IF($S$8=0,"NA",S10/$S$8)</f>
        <v>NA</v>
      </c>
      <c r="U10" s="136">
        <f t="shared" si="2"/>
        <v>36</v>
      </c>
      <c r="V10" s="184">
        <v>3</v>
      </c>
      <c r="W10" s="160">
        <f t="shared" ref="W10:W50" si="11">IF($V$8=0,"NA",V10/$V$8)</f>
        <v>1</v>
      </c>
      <c r="X10" s="184">
        <v>3</v>
      </c>
      <c r="Y10" s="160">
        <f t="shared" ref="Y10:Y50" si="12">IF($X$8=0,"NA",X10/$X$8)</f>
        <v>0.75</v>
      </c>
      <c r="Z10" s="184">
        <v>3</v>
      </c>
      <c r="AA10" s="160">
        <f t="shared" ref="AA10:AA50" si="13">IF($Z$8=0,"NA",Z10/$Z$8)</f>
        <v>1</v>
      </c>
      <c r="AB10" s="144"/>
      <c r="AC10" s="160" t="str">
        <f t="shared" si="3"/>
        <v>NA</v>
      </c>
      <c r="AD10" s="137">
        <f t="shared" ref="AD10:AD50" si="14">SUM(V10,X10,Z10,AB10)</f>
        <v>9</v>
      </c>
      <c r="AE10" s="191">
        <v>10</v>
      </c>
      <c r="AF10" s="129">
        <f t="shared" ref="AF10:AF50" si="15">IF($AE$8=0,"NA",AE10/$AE$8)</f>
        <v>1</v>
      </c>
      <c r="AG10" s="128"/>
      <c r="AH10" s="129" t="str">
        <f t="shared" ref="AH10:AH50" si="16">IF($AG$8=0,"NA",AG10/$AG$8)</f>
        <v>NA</v>
      </c>
      <c r="AI10" s="128"/>
      <c r="AJ10" s="129" t="str">
        <f t="shared" ref="AJ10:AJ50" si="17">IF($AI$8=0,"NA",AI10/$AI$8)</f>
        <v>NA</v>
      </c>
      <c r="AK10" s="127">
        <f t="shared" ref="AK10:AK50" si="18">SUM(AE10,AG10,AI10)</f>
        <v>10</v>
      </c>
      <c r="AL10" s="127"/>
      <c r="AM10" s="170" t="str">
        <f t="shared" ref="AM10:AM50" si="19">IF(AND($AL$7&lt;&gt;0,$AL$8&lt;&gt;0),AL10/$AL$8,"NA")</f>
        <v>NA</v>
      </c>
      <c r="AN10" s="127"/>
      <c r="AO10" s="170" t="str">
        <f t="shared" ref="AO10:AO50" si="20">IF(AND($AN$7&lt;&gt;0,$AN$8&lt;&gt;0),AN10/$AN$8,"NA")</f>
        <v>NA</v>
      </c>
      <c r="AP10" s="127"/>
      <c r="AQ10" s="170" t="str">
        <f t="shared" ref="AQ10:AQ50" si="21">IF(AND($AP$7&lt;&gt;0,$AP$8&lt;&gt;0),AP10/$AP$8,"NA")</f>
        <v>NA</v>
      </c>
      <c r="AR10" s="127">
        <f t="shared" ref="AR10:AR50" si="22">SUM(AL10,AN10,AP10)</f>
        <v>0</v>
      </c>
      <c r="AS10" s="191">
        <v>8</v>
      </c>
      <c r="AT10" s="129">
        <f t="shared" ref="AT10:AT50" si="23">IF($AS$8=0,"NA",AS10/$AS$8)</f>
        <v>0.8</v>
      </c>
      <c r="AU10" s="128"/>
      <c r="AV10" s="129" t="str">
        <f t="shared" ref="AV10:AV50" si="24">IF($AU$8=0,"NA",AU10/$AU$8)</f>
        <v>NA</v>
      </c>
      <c r="AW10" s="128"/>
      <c r="AX10" s="129" t="str">
        <f t="shared" ref="AX10:AX50" si="25">IF($AW$8=0,"NA",AW10/$AW$8)</f>
        <v>NA</v>
      </c>
      <c r="AY10" s="127">
        <f t="shared" ref="AY10:AY50" si="26">SUM(AS10,AU10,AW10)</f>
        <v>8</v>
      </c>
      <c r="AZ10" s="161">
        <f t="shared" ref="AZ10:AZ50" si="27">SUM(AK10,AR10,AY10)</f>
        <v>18</v>
      </c>
      <c r="BA10" s="162">
        <f t="shared" ref="BA10:BA50" si="28">SUM(L10,U10,AD10,AK10,AR10,AY10)</f>
        <v>81</v>
      </c>
      <c r="IX10"/>
      <c r="IY10"/>
      <c r="IZ10"/>
      <c r="JA10"/>
    </row>
    <row r="11" spans="1:261" ht="20.100000000000001" customHeight="1" outlineLevel="1" thickBot="1" x14ac:dyDescent="0.3">
      <c r="A11" s="144">
        <f>IF((A10+1)&lt;=Outline!$E$12,A10+1,0)</f>
        <v>3</v>
      </c>
      <c r="B11" s="146" t="s">
        <v>191</v>
      </c>
      <c r="C11" s="152"/>
      <c r="D11" s="182">
        <v>10</v>
      </c>
      <c r="E11" s="158">
        <f t="shared" si="1"/>
        <v>0.83333333333333337</v>
      </c>
      <c r="F11" s="184">
        <v>2</v>
      </c>
      <c r="G11" s="158">
        <f t="shared" si="4"/>
        <v>1</v>
      </c>
      <c r="H11" s="184">
        <v>4</v>
      </c>
      <c r="I11" s="158">
        <f t="shared" si="5"/>
        <v>0.66666666666666663</v>
      </c>
      <c r="J11" s="144"/>
      <c r="K11" s="158" t="str">
        <f t="shared" si="6"/>
        <v>NA</v>
      </c>
      <c r="L11" s="135">
        <f t="shared" si="0"/>
        <v>16</v>
      </c>
      <c r="M11" s="187">
        <v>9</v>
      </c>
      <c r="N11" s="159">
        <f t="shared" si="7"/>
        <v>0.75</v>
      </c>
      <c r="O11" s="187">
        <v>17</v>
      </c>
      <c r="P11" s="159">
        <f t="shared" si="8"/>
        <v>0.73913043478260865</v>
      </c>
      <c r="Q11" s="187">
        <v>10</v>
      </c>
      <c r="R11" s="159">
        <f t="shared" si="9"/>
        <v>0.66666666666666663</v>
      </c>
      <c r="S11" s="145"/>
      <c r="T11" s="159" t="str">
        <f t="shared" si="10"/>
        <v>NA</v>
      </c>
      <c r="U11" s="136">
        <f t="shared" si="2"/>
        <v>36</v>
      </c>
      <c r="V11" s="184">
        <v>3</v>
      </c>
      <c r="W11" s="160">
        <f t="shared" si="11"/>
        <v>1</v>
      </c>
      <c r="X11" s="184">
        <v>3</v>
      </c>
      <c r="Y11" s="160">
        <f t="shared" si="12"/>
        <v>0.75</v>
      </c>
      <c r="Z11" s="184">
        <v>3</v>
      </c>
      <c r="AA11" s="160">
        <f t="shared" si="13"/>
        <v>1</v>
      </c>
      <c r="AB11" s="144"/>
      <c r="AC11" s="160" t="str">
        <f t="shared" si="3"/>
        <v>NA</v>
      </c>
      <c r="AD11" s="137">
        <f t="shared" si="14"/>
        <v>9</v>
      </c>
      <c r="AE11" s="191">
        <v>10</v>
      </c>
      <c r="AF11" s="129">
        <f t="shared" si="15"/>
        <v>1</v>
      </c>
      <c r="AG11" s="128"/>
      <c r="AH11" s="129" t="str">
        <f t="shared" si="16"/>
        <v>NA</v>
      </c>
      <c r="AI11" s="128"/>
      <c r="AJ11" s="129" t="str">
        <f t="shared" si="17"/>
        <v>NA</v>
      </c>
      <c r="AK11" s="127">
        <f t="shared" si="18"/>
        <v>10</v>
      </c>
      <c r="AL11" s="127"/>
      <c r="AM11" s="170" t="str">
        <f t="shared" si="19"/>
        <v>NA</v>
      </c>
      <c r="AN11" s="127"/>
      <c r="AO11" s="170" t="str">
        <f t="shared" si="20"/>
        <v>NA</v>
      </c>
      <c r="AP11" s="127"/>
      <c r="AQ11" s="170" t="str">
        <f t="shared" si="21"/>
        <v>NA</v>
      </c>
      <c r="AR11" s="127">
        <f t="shared" si="22"/>
        <v>0</v>
      </c>
      <c r="AS11" s="191">
        <v>10</v>
      </c>
      <c r="AT11" s="129">
        <f t="shared" si="23"/>
        <v>1</v>
      </c>
      <c r="AU11" s="128"/>
      <c r="AV11" s="129" t="str">
        <f t="shared" si="24"/>
        <v>NA</v>
      </c>
      <c r="AW11" s="128"/>
      <c r="AX11" s="129" t="str">
        <f t="shared" si="25"/>
        <v>NA</v>
      </c>
      <c r="AY11" s="127">
        <f t="shared" si="26"/>
        <v>10</v>
      </c>
      <c r="AZ11" s="161">
        <f t="shared" si="27"/>
        <v>20</v>
      </c>
      <c r="BA11" s="162">
        <f t="shared" si="28"/>
        <v>81</v>
      </c>
      <c r="IX11"/>
      <c r="IY11"/>
      <c r="IZ11"/>
      <c r="JA11"/>
    </row>
    <row r="12" spans="1:261" ht="20.100000000000001" customHeight="1" outlineLevel="1" thickBot="1" x14ac:dyDescent="0.3">
      <c r="A12" s="144">
        <f>IF((A11+1)&lt;=Outline!$E$12,A11+1,0)</f>
        <v>4</v>
      </c>
      <c r="B12" s="146" t="s">
        <v>192</v>
      </c>
      <c r="C12" s="152"/>
      <c r="D12" s="182">
        <v>6</v>
      </c>
      <c r="E12" s="158">
        <f t="shared" si="1"/>
        <v>0.5</v>
      </c>
      <c r="F12" s="184">
        <v>2</v>
      </c>
      <c r="G12" s="158">
        <f t="shared" si="4"/>
        <v>1</v>
      </c>
      <c r="H12" s="184">
        <v>5</v>
      </c>
      <c r="I12" s="158">
        <f t="shared" si="5"/>
        <v>0.83333333333333337</v>
      </c>
      <c r="J12" s="144"/>
      <c r="K12" s="158" t="str">
        <f t="shared" si="6"/>
        <v>NA</v>
      </c>
      <c r="L12" s="135">
        <f t="shared" si="0"/>
        <v>13</v>
      </c>
      <c r="M12" s="187">
        <v>6</v>
      </c>
      <c r="N12" s="159">
        <f t="shared" si="7"/>
        <v>0.5</v>
      </c>
      <c r="O12" s="187">
        <v>12</v>
      </c>
      <c r="P12" s="159">
        <f t="shared" si="8"/>
        <v>0.52173913043478259</v>
      </c>
      <c r="Q12" s="187">
        <v>8</v>
      </c>
      <c r="R12" s="159">
        <f t="shared" si="9"/>
        <v>0.53333333333333333</v>
      </c>
      <c r="S12" s="145"/>
      <c r="T12" s="159" t="str">
        <f t="shared" si="10"/>
        <v>NA</v>
      </c>
      <c r="U12" s="136">
        <f t="shared" si="2"/>
        <v>26</v>
      </c>
      <c r="V12" s="184">
        <v>2</v>
      </c>
      <c r="W12" s="160">
        <f t="shared" si="11"/>
        <v>0.66666666666666663</v>
      </c>
      <c r="X12" s="184">
        <v>3</v>
      </c>
      <c r="Y12" s="160">
        <f t="shared" si="12"/>
        <v>0.75</v>
      </c>
      <c r="Z12" s="184">
        <v>2</v>
      </c>
      <c r="AA12" s="160">
        <f t="shared" si="13"/>
        <v>0.66666666666666663</v>
      </c>
      <c r="AB12" s="144"/>
      <c r="AC12" s="160" t="str">
        <f t="shared" si="3"/>
        <v>NA</v>
      </c>
      <c r="AD12" s="137">
        <f t="shared" si="14"/>
        <v>7</v>
      </c>
      <c r="AE12" s="191">
        <v>10</v>
      </c>
      <c r="AF12" s="129">
        <f t="shared" si="15"/>
        <v>1</v>
      </c>
      <c r="AG12" s="128"/>
      <c r="AH12" s="129" t="str">
        <f t="shared" si="16"/>
        <v>NA</v>
      </c>
      <c r="AI12" s="128"/>
      <c r="AJ12" s="129" t="str">
        <f t="shared" si="17"/>
        <v>NA</v>
      </c>
      <c r="AK12" s="127">
        <f t="shared" si="18"/>
        <v>10</v>
      </c>
      <c r="AL12" s="127"/>
      <c r="AM12" s="170" t="str">
        <f t="shared" si="19"/>
        <v>NA</v>
      </c>
      <c r="AN12" s="127"/>
      <c r="AO12" s="170" t="str">
        <f t="shared" si="20"/>
        <v>NA</v>
      </c>
      <c r="AP12" s="127"/>
      <c r="AQ12" s="170" t="str">
        <f t="shared" si="21"/>
        <v>NA</v>
      </c>
      <c r="AR12" s="127">
        <f t="shared" si="22"/>
        <v>0</v>
      </c>
      <c r="AS12" s="191">
        <v>8</v>
      </c>
      <c r="AT12" s="129">
        <f t="shared" si="23"/>
        <v>0.8</v>
      </c>
      <c r="AU12" s="128"/>
      <c r="AV12" s="129" t="str">
        <f t="shared" si="24"/>
        <v>NA</v>
      </c>
      <c r="AW12" s="128"/>
      <c r="AX12" s="129" t="str">
        <f t="shared" si="25"/>
        <v>NA</v>
      </c>
      <c r="AY12" s="127">
        <f t="shared" si="26"/>
        <v>8</v>
      </c>
      <c r="AZ12" s="161">
        <f t="shared" si="27"/>
        <v>18</v>
      </c>
      <c r="BA12" s="162">
        <f t="shared" si="28"/>
        <v>64</v>
      </c>
      <c r="IX12"/>
      <c r="IY12"/>
      <c r="IZ12"/>
      <c r="JA12"/>
    </row>
    <row r="13" spans="1:261" ht="20.100000000000001" customHeight="1" outlineLevel="1" thickBot="1" x14ac:dyDescent="0.3">
      <c r="A13" s="144">
        <f>IF((A12+1)&lt;=Outline!$E$12,A12+1,0)</f>
        <v>5</v>
      </c>
      <c r="B13" s="146" t="s">
        <v>193</v>
      </c>
      <c r="C13" s="152"/>
      <c r="D13" s="182">
        <v>9</v>
      </c>
      <c r="E13" s="158">
        <f t="shared" si="1"/>
        <v>0.75</v>
      </c>
      <c r="F13" s="184">
        <v>1</v>
      </c>
      <c r="G13" s="158">
        <f t="shared" si="4"/>
        <v>0.5</v>
      </c>
      <c r="H13" s="184">
        <v>5</v>
      </c>
      <c r="I13" s="158">
        <f t="shared" si="5"/>
        <v>0.83333333333333337</v>
      </c>
      <c r="J13" s="144"/>
      <c r="K13" s="158" t="str">
        <f t="shared" si="6"/>
        <v>NA</v>
      </c>
      <c r="L13" s="135">
        <f t="shared" si="0"/>
        <v>15</v>
      </c>
      <c r="M13" s="187">
        <v>9</v>
      </c>
      <c r="N13" s="159">
        <f t="shared" si="7"/>
        <v>0.75</v>
      </c>
      <c r="O13" s="187">
        <v>13</v>
      </c>
      <c r="P13" s="159">
        <f t="shared" si="8"/>
        <v>0.56521739130434778</v>
      </c>
      <c r="Q13" s="187">
        <v>10</v>
      </c>
      <c r="R13" s="159">
        <f t="shared" si="9"/>
        <v>0.66666666666666663</v>
      </c>
      <c r="S13" s="145"/>
      <c r="T13" s="159" t="str">
        <f t="shared" si="10"/>
        <v>NA</v>
      </c>
      <c r="U13" s="136">
        <f t="shared" si="2"/>
        <v>32</v>
      </c>
      <c r="V13" s="184">
        <v>3</v>
      </c>
      <c r="W13" s="160">
        <f t="shared" si="11"/>
        <v>1</v>
      </c>
      <c r="X13" s="184">
        <v>3</v>
      </c>
      <c r="Y13" s="160">
        <f t="shared" si="12"/>
        <v>0.75</v>
      </c>
      <c r="Z13" s="184">
        <v>3</v>
      </c>
      <c r="AA13" s="160">
        <f t="shared" si="13"/>
        <v>1</v>
      </c>
      <c r="AB13" s="144"/>
      <c r="AC13" s="160" t="str">
        <f t="shared" si="3"/>
        <v>NA</v>
      </c>
      <c r="AD13" s="137">
        <f t="shared" si="14"/>
        <v>9</v>
      </c>
      <c r="AE13" s="191">
        <v>10</v>
      </c>
      <c r="AF13" s="129">
        <f t="shared" si="15"/>
        <v>1</v>
      </c>
      <c r="AG13" s="128"/>
      <c r="AH13" s="129" t="str">
        <f t="shared" si="16"/>
        <v>NA</v>
      </c>
      <c r="AI13" s="128"/>
      <c r="AJ13" s="129" t="str">
        <f t="shared" si="17"/>
        <v>NA</v>
      </c>
      <c r="AK13" s="127">
        <f t="shared" si="18"/>
        <v>10</v>
      </c>
      <c r="AL13" s="127"/>
      <c r="AM13" s="170" t="str">
        <f t="shared" si="19"/>
        <v>NA</v>
      </c>
      <c r="AN13" s="127"/>
      <c r="AO13" s="170" t="str">
        <f t="shared" si="20"/>
        <v>NA</v>
      </c>
      <c r="AP13" s="127"/>
      <c r="AQ13" s="170" t="str">
        <f t="shared" si="21"/>
        <v>NA</v>
      </c>
      <c r="AR13" s="127">
        <f t="shared" si="22"/>
        <v>0</v>
      </c>
      <c r="AS13" s="191">
        <v>10</v>
      </c>
      <c r="AT13" s="129">
        <f t="shared" si="23"/>
        <v>1</v>
      </c>
      <c r="AU13" s="128"/>
      <c r="AV13" s="129" t="str">
        <f t="shared" si="24"/>
        <v>NA</v>
      </c>
      <c r="AW13" s="128"/>
      <c r="AX13" s="129" t="str">
        <f t="shared" si="25"/>
        <v>NA</v>
      </c>
      <c r="AY13" s="127">
        <f t="shared" si="26"/>
        <v>10</v>
      </c>
      <c r="AZ13" s="161">
        <f t="shared" si="27"/>
        <v>20</v>
      </c>
      <c r="BA13" s="162">
        <f t="shared" si="28"/>
        <v>76</v>
      </c>
      <c r="IX13"/>
      <c r="IY13"/>
      <c r="IZ13"/>
      <c r="JA13"/>
    </row>
    <row r="14" spans="1:261" ht="20.100000000000001" customHeight="1" outlineLevel="1" thickBot="1" x14ac:dyDescent="0.3">
      <c r="A14" s="144">
        <f>IF((A13+1)&lt;=Outline!$E$12,A13+1,0)</f>
        <v>6</v>
      </c>
      <c r="B14" s="147" t="s">
        <v>194</v>
      </c>
      <c r="C14" s="152"/>
      <c r="D14" s="182">
        <v>11</v>
      </c>
      <c r="E14" s="158">
        <f t="shared" si="1"/>
        <v>0.91666666666666663</v>
      </c>
      <c r="F14" s="184">
        <v>1</v>
      </c>
      <c r="G14" s="158">
        <f t="shared" si="4"/>
        <v>0.5</v>
      </c>
      <c r="H14" s="184">
        <v>6</v>
      </c>
      <c r="I14" s="158">
        <f t="shared" si="5"/>
        <v>1</v>
      </c>
      <c r="J14" s="144"/>
      <c r="K14" s="158" t="str">
        <f t="shared" si="6"/>
        <v>NA</v>
      </c>
      <c r="L14" s="135">
        <f t="shared" si="0"/>
        <v>18</v>
      </c>
      <c r="M14" s="187">
        <v>10</v>
      </c>
      <c r="N14" s="159">
        <f t="shared" si="7"/>
        <v>0.83333333333333337</v>
      </c>
      <c r="O14" s="187">
        <v>19</v>
      </c>
      <c r="P14" s="159">
        <f t="shared" si="8"/>
        <v>0.82608695652173914</v>
      </c>
      <c r="Q14" s="187">
        <v>12</v>
      </c>
      <c r="R14" s="159">
        <f t="shared" si="9"/>
        <v>0.8</v>
      </c>
      <c r="S14" s="145"/>
      <c r="T14" s="159" t="str">
        <f t="shared" si="10"/>
        <v>NA</v>
      </c>
      <c r="U14" s="136">
        <f t="shared" si="2"/>
        <v>41</v>
      </c>
      <c r="V14" s="184">
        <v>3</v>
      </c>
      <c r="W14" s="160">
        <f t="shared" si="11"/>
        <v>1</v>
      </c>
      <c r="X14" s="184">
        <v>4</v>
      </c>
      <c r="Y14" s="160">
        <f t="shared" si="12"/>
        <v>1</v>
      </c>
      <c r="Z14" s="184">
        <v>3</v>
      </c>
      <c r="AA14" s="160">
        <f t="shared" si="13"/>
        <v>1</v>
      </c>
      <c r="AB14" s="144"/>
      <c r="AC14" s="160" t="str">
        <f t="shared" si="3"/>
        <v>NA</v>
      </c>
      <c r="AD14" s="137">
        <f t="shared" si="14"/>
        <v>10</v>
      </c>
      <c r="AE14" s="191">
        <v>10</v>
      </c>
      <c r="AF14" s="129">
        <f t="shared" si="15"/>
        <v>1</v>
      </c>
      <c r="AG14" s="128"/>
      <c r="AH14" s="129" t="str">
        <f t="shared" si="16"/>
        <v>NA</v>
      </c>
      <c r="AI14" s="128"/>
      <c r="AJ14" s="129" t="str">
        <f t="shared" si="17"/>
        <v>NA</v>
      </c>
      <c r="AK14" s="127">
        <f t="shared" si="18"/>
        <v>10</v>
      </c>
      <c r="AL14" s="127"/>
      <c r="AM14" s="170" t="str">
        <f t="shared" si="19"/>
        <v>NA</v>
      </c>
      <c r="AN14" s="127"/>
      <c r="AO14" s="170" t="str">
        <f t="shared" si="20"/>
        <v>NA</v>
      </c>
      <c r="AP14" s="127"/>
      <c r="AQ14" s="170" t="str">
        <f t="shared" si="21"/>
        <v>NA</v>
      </c>
      <c r="AR14" s="127">
        <f t="shared" si="22"/>
        <v>0</v>
      </c>
      <c r="AS14" s="191">
        <v>9</v>
      </c>
      <c r="AT14" s="129">
        <f t="shared" si="23"/>
        <v>0.9</v>
      </c>
      <c r="AU14" s="128"/>
      <c r="AV14" s="129" t="str">
        <f t="shared" si="24"/>
        <v>NA</v>
      </c>
      <c r="AW14" s="128"/>
      <c r="AX14" s="129" t="str">
        <f t="shared" si="25"/>
        <v>NA</v>
      </c>
      <c r="AY14" s="127">
        <f t="shared" si="26"/>
        <v>9</v>
      </c>
      <c r="AZ14" s="161">
        <f t="shared" si="27"/>
        <v>19</v>
      </c>
      <c r="BA14" s="162">
        <f t="shared" si="28"/>
        <v>88</v>
      </c>
      <c r="IX14"/>
      <c r="IY14"/>
      <c r="IZ14"/>
      <c r="JA14"/>
    </row>
    <row r="15" spans="1:261" ht="20.100000000000001" customHeight="1" outlineLevel="1" thickBot="1" x14ac:dyDescent="0.3">
      <c r="A15" s="144">
        <f>IF((A14+1)&lt;=Outline!$E$12,A14+1,0)</f>
        <v>7</v>
      </c>
      <c r="B15" s="146" t="s">
        <v>195</v>
      </c>
      <c r="C15" s="152"/>
      <c r="D15" s="182">
        <v>12</v>
      </c>
      <c r="E15" s="158">
        <f t="shared" si="1"/>
        <v>1</v>
      </c>
      <c r="F15" s="184">
        <v>2</v>
      </c>
      <c r="G15" s="158">
        <f t="shared" si="4"/>
        <v>1</v>
      </c>
      <c r="H15" s="184">
        <v>4</v>
      </c>
      <c r="I15" s="158">
        <f t="shared" si="5"/>
        <v>0.66666666666666663</v>
      </c>
      <c r="J15" s="144"/>
      <c r="K15" s="158" t="str">
        <f t="shared" si="6"/>
        <v>NA</v>
      </c>
      <c r="L15" s="135">
        <f t="shared" si="0"/>
        <v>18</v>
      </c>
      <c r="M15" s="187">
        <v>11</v>
      </c>
      <c r="N15" s="159">
        <f t="shared" si="7"/>
        <v>0.91666666666666663</v>
      </c>
      <c r="O15" s="187">
        <v>20</v>
      </c>
      <c r="P15" s="159">
        <f t="shared" si="8"/>
        <v>0.86956521739130432</v>
      </c>
      <c r="Q15" s="187">
        <v>12</v>
      </c>
      <c r="R15" s="159">
        <f t="shared" si="9"/>
        <v>0.8</v>
      </c>
      <c r="S15" s="145"/>
      <c r="T15" s="159" t="str">
        <f t="shared" si="10"/>
        <v>NA</v>
      </c>
      <c r="U15" s="136">
        <f t="shared" si="2"/>
        <v>43</v>
      </c>
      <c r="V15" s="184">
        <v>3</v>
      </c>
      <c r="W15" s="160">
        <f t="shared" si="11"/>
        <v>1</v>
      </c>
      <c r="X15" s="184">
        <v>4</v>
      </c>
      <c r="Y15" s="160">
        <f t="shared" si="12"/>
        <v>1</v>
      </c>
      <c r="Z15" s="184">
        <v>3</v>
      </c>
      <c r="AA15" s="160">
        <f t="shared" si="13"/>
        <v>1</v>
      </c>
      <c r="AB15" s="144"/>
      <c r="AC15" s="160" t="str">
        <f t="shared" si="3"/>
        <v>NA</v>
      </c>
      <c r="AD15" s="137">
        <f t="shared" si="14"/>
        <v>10</v>
      </c>
      <c r="AE15" s="191">
        <v>10</v>
      </c>
      <c r="AF15" s="129">
        <f t="shared" si="15"/>
        <v>1</v>
      </c>
      <c r="AG15" s="128"/>
      <c r="AH15" s="129" t="str">
        <f t="shared" si="16"/>
        <v>NA</v>
      </c>
      <c r="AI15" s="128"/>
      <c r="AJ15" s="129" t="str">
        <f t="shared" si="17"/>
        <v>NA</v>
      </c>
      <c r="AK15" s="127">
        <f t="shared" si="18"/>
        <v>10</v>
      </c>
      <c r="AL15" s="127"/>
      <c r="AM15" s="170" t="str">
        <f t="shared" si="19"/>
        <v>NA</v>
      </c>
      <c r="AN15" s="127"/>
      <c r="AO15" s="170" t="str">
        <f t="shared" si="20"/>
        <v>NA</v>
      </c>
      <c r="AP15" s="127"/>
      <c r="AQ15" s="170" t="str">
        <f t="shared" si="21"/>
        <v>NA</v>
      </c>
      <c r="AR15" s="127">
        <f t="shared" si="22"/>
        <v>0</v>
      </c>
      <c r="AS15" s="191">
        <v>8</v>
      </c>
      <c r="AT15" s="129">
        <f t="shared" si="23"/>
        <v>0.8</v>
      </c>
      <c r="AU15" s="128"/>
      <c r="AV15" s="129" t="str">
        <f t="shared" si="24"/>
        <v>NA</v>
      </c>
      <c r="AW15" s="128"/>
      <c r="AX15" s="129" t="str">
        <f t="shared" si="25"/>
        <v>NA</v>
      </c>
      <c r="AY15" s="127">
        <f t="shared" si="26"/>
        <v>8</v>
      </c>
      <c r="AZ15" s="161">
        <f t="shared" si="27"/>
        <v>18</v>
      </c>
      <c r="BA15" s="162">
        <f t="shared" si="28"/>
        <v>89</v>
      </c>
      <c r="IX15"/>
      <c r="IY15"/>
      <c r="IZ15"/>
      <c r="JA15"/>
    </row>
    <row r="16" spans="1:261" ht="20.100000000000001" customHeight="1" outlineLevel="1" thickBot="1" x14ac:dyDescent="0.3">
      <c r="A16" s="144">
        <f>IF((A15+1)&lt;=Outline!$E$12,A15+1,0)</f>
        <v>8</v>
      </c>
      <c r="B16" s="147" t="s">
        <v>196</v>
      </c>
      <c r="C16" s="152"/>
      <c r="D16" s="182">
        <v>10</v>
      </c>
      <c r="E16" s="158">
        <f t="shared" si="1"/>
        <v>0.83333333333333337</v>
      </c>
      <c r="F16" s="184">
        <v>2</v>
      </c>
      <c r="G16" s="158">
        <f t="shared" si="4"/>
        <v>1</v>
      </c>
      <c r="H16" s="184">
        <v>6</v>
      </c>
      <c r="I16" s="158">
        <f t="shared" si="5"/>
        <v>1</v>
      </c>
      <c r="J16" s="144"/>
      <c r="K16" s="158" t="str">
        <f t="shared" si="6"/>
        <v>NA</v>
      </c>
      <c r="L16" s="135">
        <f t="shared" si="0"/>
        <v>18</v>
      </c>
      <c r="M16" s="187">
        <v>10</v>
      </c>
      <c r="N16" s="159">
        <f t="shared" si="7"/>
        <v>0.83333333333333337</v>
      </c>
      <c r="O16" s="187">
        <v>22</v>
      </c>
      <c r="P16" s="159">
        <f t="shared" si="8"/>
        <v>0.95652173913043481</v>
      </c>
      <c r="Q16" s="187">
        <v>13</v>
      </c>
      <c r="R16" s="159">
        <f t="shared" si="9"/>
        <v>0.8666666666666667</v>
      </c>
      <c r="S16" s="145"/>
      <c r="T16" s="159" t="str">
        <f t="shared" si="10"/>
        <v>NA</v>
      </c>
      <c r="U16" s="136">
        <f t="shared" si="2"/>
        <v>45</v>
      </c>
      <c r="V16" s="184">
        <v>3</v>
      </c>
      <c r="W16" s="160">
        <f t="shared" si="11"/>
        <v>1</v>
      </c>
      <c r="X16" s="184">
        <v>4</v>
      </c>
      <c r="Y16" s="160">
        <f t="shared" si="12"/>
        <v>1</v>
      </c>
      <c r="Z16" s="184">
        <v>3</v>
      </c>
      <c r="AA16" s="160">
        <f t="shared" si="13"/>
        <v>1</v>
      </c>
      <c r="AB16" s="144"/>
      <c r="AC16" s="160" t="str">
        <f t="shared" si="3"/>
        <v>NA</v>
      </c>
      <c r="AD16" s="137">
        <f t="shared" si="14"/>
        <v>10</v>
      </c>
      <c r="AE16" s="191">
        <v>10</v>
      </c>
      <c r="AF16" s="129">
        <f t="shared" si="15"/>
        <v>1</v>
      </c>
      <c r="AG16" s="128"/>
      <c r="AH16" s="129" t="str">
        <f t="shared" si="16"/>
        <v>NA</v>
      </c>
      <c r="AI16" s="128"/>
      <c r="AJ16" s="129" t="str">
        <f t="shared" si="17"/>
        <v>NA</v>
      </c>
      <c r="AK16" s="127">
        <f t="shared" si="18"/>
        <v>10</v>
      </c>
      <c r="AL16" s="127"/>
      <c r="AM16" s="170" t="str">
        <f t="shared" si="19"/>
        <v>NA</v>
      </c>
      <c r="AN16" s="127"/>
      <c r="AO16" s="170" t="str">
        <f t="shared" si="20"/>
        <v>NA</v>
      </c>
      <c r="AP16" s="127"/>
      <c r="AQ16" s="170" t="str">
        <f t="shared" si="21"/>
        <v>NA</v>
      </c>
      <c r="AR16" s="127">
        <f t="shared" si="22"/>
        <v>0</v>
      </c>
      <c r="AS16" s="191">
        <v>10</v>
      </c>
      <c r="AT16" s="129">
        <f t="shared" si="23"/>
        <v>1</v>
      </c>
      <c r="AU16" s="128"/>
      <c r="AV16" s="129" t="str">
        <f t="shared" si="24"/>
        <v>NA</v>
      </c>
      <c r="AW16" s="128"/>
      <c r="AX16" s="129" t="str">
        <f t="shared" si="25"/>
        <v>NA</v>
      </c>
      <c r="AY16" s="127">
        <f t="shared" si="26"/>
        <v>10</v>
      </c>
      <c r="AZ16" s="161">
        <f t="shared" si="27"/>
        <v>20</v>
      </c>
      <c r="BA16" s="162">
        <f t="shared" si="28"/>
        <v>93</v>
      </c>
      <c r="IX16"/>
      <c r="IY16"/>
      <c r="IZ16"/>
      <c r="JA16"/>
    </row>
    <row r="17" spans="1:261" ht="20.100000000000001" customHeight="1" outlineLevel="1" thickBot="1" x14ac:dyDescent="0.3">
      <c r="A17" s="144">
        <f>IF((A16+1)&lt;=Outline!$E$12,A16+1,0)</f>
        <v>9</v>
      </c>
      <c r="B17" s="147" t="s">
        <v>198</v>
      </c>
      <c r="C17" s="152"/>
      <c r="D17" s="182">
        <v>10</v>
      </c>
      <c r="E17" s="158">
        <f t="shared" si="1"/>
        <v>0.83333333333333337</v>
      </c>
      <c r="F17" s="184">
        <v>2</v>
      </c>
      <c r="G17" s="158">
        <f t="shared" si="4"/>
        <v>1</v>
      </c>
      <c r="H17" s="184">
        <v>6</v>
      </c>
      <c r="I17" s="158">
        <f t="shared" si="5"/>
        <v>1</v>
      </c>
      <c r="J17" s="144"/>
      <c r="K17" s="158" t="str">
        <f t="shared" si="6"/>
        <v>NA</v>
      </c>
      <c r="L17" s="135">
        <f t="shared" si="0"/>
        <v>18</v>
      </c>
      <c r="M17" s="187">
        <v>12</v>
      </c>
      <c r="N17" s="159">
        <f t="shared" si="7"/>
        <v>1</v>
      </c>
      <c r="O17" s="187">
        <v>20</v>
      </c>
      <c r="P17" s="159">
        <f t="shared" si="8"/>
        <v>0.86956521739130432</v>
      </c>
      <c r="Q17" s="187">
        <v>11</v>
      </c>
      <c r="R17" s="159">
        <f t="shared" si="9"/>
        <v>0.73333333333333328</v>
      </c>
      <c r="S17" s="145"/>
      <c r="T17" s="159" t="str">
        <f t="shared" si="10"/>
        <v>NA</v>
      </c>
      <c r="U17" s="136">
        <f t="shared" si="2"/>
        <v>43</v>
      </c>
      <c r="V17" s="184">
        <v>3</v>
      </c>
      <c r="W17" s="160">
        <f t="shared" si="11"/>
        <v>1</v>
      </c>
      <c r="X17" s="184">
        <v>4</v>
      </c>
      <c r="Y17" s="160">
        <f t="shared" si="12"/>
        <v>1</v>
      </c>
      <c r="Z17" s="184">
        <v>3</v>
      </c>
      <c r="AA17" s="160">
        <f t="shared" si="13"/>
        <v>1</v>
      </c>
      <c r="AB17" s="144"/>
      <c r="AC17" s="160" t="str">
        <f t="shared" si="3"/>
        <v>NA</v>
      </c>
      <c r="AD17" s="137">
        <f t="shared" si="14"/>
        <v>10</v>
      </c>
      <c r="AE17" s="191">
        <v>10</v>
      </c>
      <c r="AF17" s="129">
        <f t="shared" si="15"/>
        <v>1</v>
      </c>
      <c r="AG17" s="128"/>
      <c r="AH17" s="129" t="str">
        <f t="shared" si="16"/>
        <v>NA</v>
      </c>
      <c r="AI17" s="128"/>
      <c r="AJ17" s="129" t="str">
        <f t="shared" si="17"/>
        <v>NA</v>
      </c>
      <c r="AK17" s="127">
        <f t="shared" si="18"/>
        <v>10</v>
      </c>
      <c r="AL17" s="127"/>
      <c r="AM17" s="170" t="str">
        <f t="shared" si="19"/>
        <v>NA</v>
      </c>
      <c r="AN17" s="127"/>
      <c r="AO17" s="170" t="str">
        <f t="shared" si="20"/>
        <v>NA</v>
      </c>
      <c r="AP17" s="127"/>
      <c r="AQ17" s="170" t="str">
        <f t="shared" si="21"/>
        <v>NA</v>
      </c>
      <c r="AR17" s="127">
        <f t="shared" si="22"/>
        <v>0</v>
      </c>
      <c r="AS17" s="191">
        <v>10</v>
      </c>
      <c r="AT17" s="129">
        <f t="shared" si="23"/>
        <v>1</v>
      </c>
      <c r="AU17" s="128"/>
      <c r="AV17" s="129" t="str">
        <f t="shared" si="24"/>
        <v>NA</v>
      </c>
      <c r="AW17" s="128"/>
      <c r="AX17" s="129" t="str">
        <f t="shared" si="25"/>
        <v>NA</v>
      </c>
      <c r="AY17" s="127">
        <f t="shared" si="26"/>
        <v>10</v>
      </c>
      <c r="AZ17" s="161">
        <f t="shared" si="27"/>
        <v>20</v>
      </c>
      <c r="BA17" s="162">
        <f t="shared" si="28"/>
        <v>91</v>
      </c>
      <c r="IX17"/>
      <c r="IY17"/>
      <c r="IZ17"/>
      <c r="JA17"/>
    </row>
    <row r="18" spans="1:261" ht="20.100000000000001" customHeight="1" outlineLevel="1" thickBot="1" x14ac:dyDescent="0.3">
      <c r="A18" s="144">
        <f>IF((A17+1)&lt;=Outline!$E$12,A17+1,0)</f>
        <v>10</v>
      </c>
      <c r="B18" s="147" t="s">
        <v>197</v>
      </c>
      <c r="C18" s="152"/>
      <c r="D18" s="182">
        <v>11</v>
      </c>
      <c r="E18" s="158">
        <f t="shared" si="1"/>
        <v>0.91666666666666663</v>
      </c>
      <c r="F18" s="184">
        <v>1</v>
      </c>
      <c r="G18" s="158">
        <f t="shared" si="4"/>
        <v>0.5</v>
      </c>
      <c r="H18" s="184">
        <v>5</v>
      </c>
      <c r="I18" s="158">
        <f t="shared" si="5"/>
        <v>0.83333333333333337</v>
      </c>
      <c r="J18" s="144"/>
      <c r="K18" s="158" t="str">
        <f t="shared" si="6"/>
        <v>NA</v>
      </c>
      <c r="L18" s="135">
        <f t="shared" si="0"/>
        <v>17</v>
      </c>
      <c r="M18" s="187">
        <v>11</v>
      </c>
      <c r="N18" s="159">
        <f t="shared" si="7"/>
        <v>0.91666666666666663</v>
      </c>
      <c r="O18" s="187">
        <v>21</v>
      </c>
      <c r="P18" s="159">
        <f t="shared" si="8"/>
        <v>0.91304347826086951</v>
      </c>
      <c r="Q18" s="187">
        <v>12</v>
      </c>
      <c r="R18" s="159">
        <f t="shared" si="9"/>
        <v>0.8</v>
      </c>
      <c r="S18" s="145"/>
      <c r="T18" s="159" t="str">
        <f t="shared" si="10"/>
        <v>NA</v>
      </c>
      <c r="U18" s="136">
        <f t="shared" si="2"/>
        <v>44</v>
      </c>
      <c r="V18" s="184">
        <v>3</v>
      </c>
      <c r="W18" s="160">
        <f t="shared" si="11"/>
        <v>1</v>
      </c>
      <c r="X18" s="184">
        <v>4</v>
      </c>
      <c r="Y18" s="160">
        <f t="shared" si="12"/>
        <v>1</v>
      </c>
      <c r="Z18" s="184">
        <v>2</v>
      </c>
      <c r="AA18" s="160">
        <f t="shared" si="13"/>
        <v>0.66666666666666663</v>
      </c>
      <c r="AB18" s="144"/>
      <c r="AC18" s="160" t="str">
        <f t="shared" si="3"/>
        <v>NA</v>
      </c>
      <c r="AD18" s="137">
        <f t="shared" si="14"/>
        <v>9</v>
      </c>
      <c r="AE18" s="191">
        <v>10</v>
      </c>
      <c r="AF18" s="129">
        <f t="shared" si="15"/>
        <v>1</v>
      </c>
      <c r="AG18" s="128"/>
      <c r="AH18" s="129" t="str">
        <f t="shared" si="16"/>
        <v>NA</v>
      </c>
      <c r="AI18" s="128"/>
      <c r="AJ18" s="129" t="str">
        <f t="shared" si="17"/>
        <v>NA</v>
      </c>
      <c r="AK18" s="127">
        <f t="shared" si="18"/>
        <v>10</v>
      </c>
      <c r="AL18" s="127"/>
      <c r="AM18" s="170" t="str">
        <f t="shared" si="19"/>
        <v>NA</v>
      </c>
      <c r="AN18" s="127"/>
      <c r="AO18" s="170" t="str">
        <f t="shared" si="20"/>
        <v>NA</v>
      </c>
      <c r="AP18" s="127"/>
      <c r="AQ18" s="170" t="str">
        <f t="shared" si="21"/>
        <v>NA</v>
      </c>
      <c r="AR18" s="127">
        <f t="shared" si="22"/>
        <v>0</v>
      </c>
      <c r="AS18" s="191">
        <v>10</v>
      </c>
      <c r="AT18" s="129">
        <f t="shared" si="23"/>
        <v>1</v>
      </c>
      <c r="AU18" s="128"/>
      <c r="AV18" s="129" t="str">
        <f t="shared" si="24"/>
        <v>NA</v>
      </c>
      <c r="AW18" s="128"/>
      <c r="AX18" s="129" t="str">
        <f t="shared" si="25"/>
        <v>NA</v>
      </c>
      <c r="AY18" s="127">
        <f t="shared" si="26"/>
        <v>10</v>
      </c>
      <c r="AZ18" s="161">
        <f t="shared" si="27"/>
        <v>20</v>
      </c>
      <c r="BA18" s="162">
        <f t="shared" si="28"/>
        <v>90</v>
      </c>
      <c r="IX18"/>
      <c r="IY18"/>
      <c r="IZ18"/>
      <c r="JA18"/>
    </row>
    <row r="19" spans="1:261" ht="20.100000000000001" customHeight="1" outlineLevel="1" thickBot="1" x14ac:dyDescent="0.3">
      <c r="A19" s="144">
        <f>IF((A18+1)&lt;=Outline!$E$12,A18+1,0)</f>
        <v>11</v>
      </c>
      <c r="B19" s="146" t="s">
        <v>199</v>
      </c>
      <c r="C19" s="152"/>
      <c r="D19" s="182">
        <v>8</v>
      </c>
      <c r="E19" s="158">
        <f t="shared" si="1"/>
        <v>0.66666666666666663</v>
      </c>
      <c r="F19" s="184">
        <v>1</v>
      </c>
      <c r="G19" s="158">
        <f t="shared" si="4"/>
        <v>0.5</v>
      </c>
      <c r="H19" s="184">
        <v>6</v>
      </c>
      <c r="I19" s="158">
        <f t="shared" si="5"/>
        <v>1</v>
      </c>
      <c r="J19" s="144"/>
      <c r="K19" s="158" t="str">
        <f t="shared" si="6"/>
        <v>NA</v>
      </c>
      <c r="L19" s="135">
        <f t="shared" si="0"/>
        <v>15</v>
      </c>
      <c r="M19" s="187">
        <v>9</v>
      </c>
      <c r="N19" s="159">
        <f t="shared" si="7"/>
        <v>0.75</v>
      </c>
      <c r="O19" s="187">
        <v>15</v>
      </c>
      <c r="P19" s="159">
        <f t="shared" si="8"/>
        <v>0.65217391304347827</v>
      </c>
      <c r="Q19" s="187">
        <v>13</v>
      </c>
      <c r="R19" s="159">
        <f t="shared" si="9"/>
        <v>0.8666666666666667</v>
      </c>
      <c r="S19" s="145"/>
      <c r="T19" s="159" t="str">
        <f t="shared" si="10"/>
        <v>NA</v>
      </c>
      <c r="U19" s="136">
        <f t="shared" si="2"/>
        <v>37</v>
      </c>
      <c r="V19" s="184">
        <v>3</v>
      </c>
      <c r="W19" s="160">
        <f t="shared" si="11"/>
        <v>1</v>
      </c>
      <c r="X19" s="184">
        <v>3</v>
      </c>
      <c r="Y19" s="160">
        <f t="shared" si="12"/>
        <v>0.75</v>
      </c>
      <c r="Z19" s="184">
        <v>3</v>
      </c>
      <c r="AA19" s="160">
        <f t="shared" si="13"/>
        <v>1</v>
      </c>
      <c r="AB19" s="144"/>
      <c r="AC19" s="160" t="str">
        <f t="shared" si="3"/>
        <v>NA</v>
      </c>
      <c r="AD19" s="137">
        <f t="shared" si="14"/>
        <v>9</v>
      </c>
      <c r="AE19" s="191">
        <v>10</v>
      </c>
      <c r="AF19" s="129">
        <f t="shared" si="15"/>
        <v>1</v>
      </c>
      <c r="AG19" s="128"/>
      <c r="AH19" s="129" t="str">
        <f t="shared" si="16"/>
        <v>NA</v>
      </c>
      <c r="AI19" s="128"/>
      <c r="AJ19" s="129" t="str">
        <f t="shared" si="17"/>
        <v>NA</v>
      </c>
      <c r="AK19" s="127">
        <f t="shared" si="18"/>
        <v>10</v>
      </c>
      <c r="AL19" s="127"/>
      <c r="AM19" s="170" t="str">
        <f t="shared" si="19"/>
        <v>NA</v>
      </c>
      <c r="AN19" s="127"/>
      <c r="AO19" s="170" t="str">
        <f t="shared" si="20"/>
        <v>NA</v>
      </c>
      <c r="AP19" s="127"/>
      <c r="AQ19" s="170" t="str">
        <f t="shared" si="21"/>
        <v>NA</v>
      </c>
      <c r="AR19" s="127">
        <f t="shared" si="22"/>
        <v>0</v>
      </c>
      <c r="AS19" s="191">
        <v>10</v>
      </c>
      <c r="AT19" s="129">
        <f t="shared" si="23"/>
        <v>1</v>
      </c>
      <c r="AU19" s="128"/>
      <c r="AV19" s="129" t="str">
        <f t="shared" si="24"/>
        <v>NA</v>
      </c>
      <c r="AW19" s="128"/>
      <c r="AX19" s="129" t="str">
        <f t="shared" si="25"/>
        <v>NA</v>
      </c>
      <c r="AY19" s="127">
        <f t="shared" si="26"/>
        <v>10</v>
      </c>
      <c r="AZ19" s="161">
        <f t="shared" si="27"/>
        <v>20</v>
      </c>
      <c r="BA19" s="162">
        <f t="shared" si="28"/>
        <v>81</v>
      </c>
      <c r="IX19"/>
      <c r="IY19"/>
      <c r="IZ19"/>
      <c r="JA19"/>
    </row>
    <row r="20" spans="1:261" ht="20.100000000000001" customHeight="1" outlineLevel="1" thickBot="1" x14ac:dyDescent="0.3">
      <c r="A20" s="144">
        <v>12</v>
      </c>
      <c r="B20" s="147" t="s">
        <v>200</v>
      </c>
      <c r="C20" s="152"/>
      <c r="D20" s="182">
        <v>10</v>
      </c>
      <c r="E20" s="158">
        <f t="shared" si="1"/>
        <v>0.83333333333333337</v>
      </c>
      <c r="F20" s="184">
        <v>1</v>
      </c>
      <c r="G20" s="158">
        <f t="shared" si="4"/>
        <v>0.5</v>
      </c>
      <c r="H20" s="184">
        <v>6</v>
      </c>
      <c r="I20" s="158">
        <f t="shared" si="5"/>
        <v>1</v>
      </c>
      <c r="J20" s="144"/>
      <c r="K20" s="158" t="str">
        <f t="shared" si="6"/>
        <v>NA</v>
      </c>
      <c r="L20" s="135">
        <f t="shared" si="0"/>
        <v>17</v>
      </c>
      <c r="M20" s="187">
        <v>11</v>
      </c>
      <c r="N20" s="159">
        <f t="shared" si="7"/>
        <v>0.91666666666666663</v>
      </c>
      <c r="O20" s="187">
        <v>17</v>
      </c>
      <c r="P20" s="159">
        <f t="shared" si="8"/>
        <v>0.73913043478260865</v>
      </c>
      <c r="Q20" s="187">
        <v>10</v>
      </c>
      <c r="R20" s="159">
        <f t="shared" si="9"/>
        <v>0.66666666666666663</v>
      </c>
      <c r="S20" s="145"/>
      <c r="T20" s="159" t="str">
        <f t="shared" si="10"/>
        <v>NA</v>
      </c>
      <c r="U20" s="136">
        <f t="shared" si="2"/>
        <v>38</v>
      </c>
      <c r="V20" s="184">
        <v>3</v>
      </c>
      <c r="W20" s="160">
        <f t="shared" si="11"/>
        <v>1</v>
      </c>
      <c r="X20" s="184">
        <v>3</v>
      </c>
      <c r="Y20" s="160">
        <f t="shared" si="12"/>
        <v>0.75</v>
      </c>
      <c r="Z20" s="184">
        <v>3</v>
      </c>
      <c r="AA20" s="160">
        <f t="shared" si="13"/>
        <v>1</v>
      </c>
      <c r="AB20" s="144"/>
      <c r="AC20" s="160" t="str">
        <f t="shared" si="3"/>
        <v>NA</v>
      </c>
      <c r="AD20" s="137">
        <f t="shared" si="14"/>
        <v>9</v>
      </c>
      <c r="AE20" s="191">
        <v>10</v>
      </c>
      <c r="AF20" s="129">
        <f t="shared" si="15"/>
        <v>1</v>
      </c>
      <c r="AG20" s="128"/>
      <c r="AH20" s="129" t="str">
        <f t="shared" si="16"/>
        <v>NA</v>
      </c>
      <c r="AI20" s="128"/>
      <c r="AJ20" s="129" t="str">
        <f t="shared" si="17"/>
        <v>NA</v>
      </c>
      <c r="AK20" s="127">
        <f t="shared" si="18"/>
        <v>10</v>
      </c>
      <c r="AL20" s="127"/>
      <c r="AM20" s="170" t="str">
        <f t="shared" si="19"/>
        <v>NA</v>
      </c>
      <c r="AN20" s="127"/>
      <c r="AO20" s="170" t="str">
        <f t="shared" si="20"/>
        <v>NA</v>
      </c>
      <c r="AP20" s="127"/>
      <c r="AQ20" s="170" t="str">
        <f t="shared" si="21"/>
        <v>NA</v>
      </c>
      <c r="AR20" s="127">
        <f t="shared" si="22"/>
        <v>0</v>
      </c>
      <c r="AS20" s="191">
        <v>7</v>
      </c>
      <c r="AT20" s="129">
        <f t="shared" si="23"/>
        <v>0.7</v>
      </c>
      <c r="AU20" s="128"/>
      <c r="AV20" s="129" t="str">
        <f t="shared" si="24"/>
        <v>NA</v>
      </c>
      <c r="AW20" s="128"/>
      <c r="AX20" s="129" t="str">
        <f t="shared" si="25"/>
        <v>NA</v>
      </c>
      <c r="AY20" s="127">
        <f t="shared" si="26"/>
        <v>7</v>
      </c>
      <c r="AZ20" s="161">
        <f t="shared" si="27"/>
        <v>17</v>
      </c>
      <c r="BA20" s="162">
        <f t="shared" si="28"/>
        <v>81</v>
      </c>
    </row>
    <row r="21" spans="1:261" ht="20.100000000000001" customHeight="1" outlineLevel="1" thickBot="1" x14ac:dyDescent="0.3">
      <c r="A21" s="144">
        <v>13</v>
      </c>
      <c r="B21" s="146" t="s">
        <v>201</v>
      </c>
      <c r="C21" s="152"/>
      <c r="D21" s="182">
        <v>10</v>
      </c>
      <c r="E21" s="158">
        <f t="shared" si="1"/>
        <v>0.83333333333333337</v>
      </c>
      <c r="F21" s="184">
        <v>2</v>
      </c>
      <c r="G21" s="158">
        <f t="shared" si="4"/>
        <v>1</v>
      </c>
      <c r="H21" s="184">
        <v>4</v>
      </c>
      <c r="I21" s="158">
        <f t="shared" si="5"/>
        <v>0.66666666666666663</v>
      </c>
      <c r="J21" s="144"/>
      <c r="K21" s="158" t="str">
        <f t="shared" si="6"/>
        <v>NA</v>
      </c>
      <c r="L21" s="135">
        <f t="shared" si="0"/>
        <v>16</v>
      </c>
      <c r="M21" s="187">
        <v>9</v>
      </c>
      <c r="N21" s="159">
        <f t="shared" si="7"/>
        <v>0.75</v>
      </c>
      <c r="O21" s="187">
        <v>19</v>
      </c>
      <c r="P21" s="159">
        <f t="shared" si="8"/>
        <v>0.82608695652173914</v>
      </c>
      <c r="Q21" s="187">
        <v>10</v>
      </c>
      <c r="R21" s="159">
        <f t="shared" si="9"/>
        <v>0.66666666666666663</v>
      </c>
      <c r="S21" s="145"/>
      <c r="T21" s="159" t="str">
        <f t="shared" si="10"/>
        <v>NA</v>
      </c>
      <c r="U21" s="136">
        <f t="shared" si="2"/>
        <v>38</v>
      </c>
      <c r="V21" s="184">
        <v>3</v>
      </c>
      <c r="W21" s="160">
        <f t="shared" si="11"/>
        <v>1</v>
      </c>
      <c r="X21" s="184">
        <v>3</v>
      </c>
      <c r="Y21" s="160">
        <f t="shared" si="12"/>
        <v>0.75</v>
      </c>
      <c r="Z21" s="184">
        <v>3</v>
      </c>
      <c r="AA21" s="160">
        <f t="shared" si="13"/>
        <v>1</v>
      </c>
      <c r="AB21" s="144"/>
      <c r="AC21" s="160" t="str">
        <f t="shared" si="3"/>
        <v>NA</v>
      </c>
      <c r="AD21" s="137">
        <f t="shared" si="14"/>
        <v>9</v>
      </c>
      <c r="AE21" s="191">
        <v>10</v>
      </c>
      <c r="AF21" s="129">
        <f t="shared" si="15"/>
        <v>1</v>
      </c>
      <c r="AG21" s="128"/>
      <c r="AH21" s="129" t="str">
        <f t="shared" si="16"/>
        <v>NA</v>
      </c>
      <c r="AI21" s="128"/>
      <c r="AJ21" s="129" t="str">
        <f t="shared" si="17"/>
        <v>NA</v>
      </c>
      <c r="AK21" s="127">
        <f t="shared" si="18"/>
        <v>10</v>
      </c>
      <c r="AL21" s="127"/>
      <c r="AM21" s="170" t="str">
        <f t="shared" si="19"/>
        <v>NA</v>
      </c>
      <c r="AN21" s="127"/>
      <c r="AO21" s="170" t="str">
        <f t="shared" si="20"/>
        <v>NA</v>
      </c>
      <c r="AP21" s="127"/>
      <c r="AQ21" s="170" t="str">
        <f t="shared" si="21"/>
        <v>NA</v>
      </c>
      <c r="AR21" s="127">
        <f t="shared" si="22"/>
        <v>0</v>
      </c>
      <c r="AS21" s="191">
        <v>8</v>
      </c>
      <c r="AT21" s="129">
        <f t="shared" si="23"/>
        <v>0.8</v>
      </c>
      <c r="AU21" s="128"/>
      <c r="AV21" s="129" t="str">
        <f t="shared" si="24"/>
        <v>NA</v>
      </c>
      <c r="AW21" s="128"/>
      <c r="AX21" s="129" t="str">
        <f t="shared" si="25"/>
        <v>NA</v>
      </c>
      <c r="AY21" s="127">
        <f t="shared" si="26"/>
        <v>8</v>
      </c>
      <c r="AZ21" s="161">
        <f t="shared" si="27"/>
        <v>18</v>
      </c>
      <c r="BA21" s="162">
        <f t="shared" si="28"/>
        <v>81</v>
      </c>
    </row>
    <row r="22" spans="1:261" ht="20.100000000000001" customHeight="1" outlineLevel="1" thickBot="1" x14ac:dyDescent="0.3">
      <c r="A22" s="144">
        <v>14</v>
      </c>
      <c r="B22" s="147" t="s">
        <v>202</v>
      </c>
      <c r="C22" s="152"/>
      <c r="D22" s="182">
        <v>9</v>
      </c>
      <c r="E22" s="158">
        <f t="shared" si="1"/>
        <v>0.75</v>
      </c>
      <c r="F22" s="184">
        <v>1</v>
      </c>
      <c r="G22" s="158">
        <f t="shared" si="4"/>
        <v>0.5</v>
      </c>
      <c r="H22" s="184">
        <v>5</v>
      </c>
      <c r="I22" s="158">
        <f t="shared" si="5"/>
        <v>0.83333333333333337</v>
      </c>
      <c r="J22" s="144"/>
      <c r="K22" s="158" t="str">
        <f t="shared" si="6"/>
        <v>NA</v>
      </c>
      <c r="L22" s="135">
        <f t="shared" si="0"/>
        <v>15</v>
      </c>
      <c r="M22" s="187">
        <v>8</v>
      </c>
      <c r="N22" s="159">
        <f t="shared" si="7"/>
        <v>0.66666666666666663</v>
      </c>
      <c r="O22" s="187">
        <v>6</v>
      </c>
      <c r="P22" s="159">
        <f t="shared" si="8"/>
        <v>0.2608695652173913</v>
      </c>
      <c r="Q22" s="187">
        <v>8</v>
      </c>
      <c r="R22" s="159">
        <f t="shared" si="9"/>
        <v>0.53333333333333333</v>
      </c>
      <c r="S22" s="145"/>
      <c r="T22" s="159" t="str">
        <f t="shared" si="10"/>
        <v>NA</v>
      </c>
      <c r="U22" s="136">
        <f t="shared" si="2"/>
        <v>22</v>
      </c>
      <c r="V22" s="184">
        <v>2</v>
      </c>
      <c r="W22" s="160">
        <f t="shared" si="11"/>
        <v>0.66666666666666663</v>
      </c>
      <c r="X22" s="184">
        <v>3</v>
      </c>
      <c r="Y22" s="160">
        <f t="shared" si="12"/>
        <v>0.75</v>
      </c>
      <c r="Z22" s="184">
        <v>2</v>
      </c>
      <c r="AA22" s="160">
        <f t="shared" si="13"/>
        <v>0.66666666666666663</v>
      </c>
      <c r="AB22" s="144"/>
      <c r="AC22" s="160" t="str">
        <f t="shared" si="3"/>
        <v>NA</v>
      </c>
      <c r="AD22" s="137">
        <f t="shared" si="14"/>
        <v>7</v>
      </c>
      <c r="AE22" s="191">
        <v>10</v>
      </c>
      <c r="AF22" s="129">
        <f t="shared" si="15"/>
        <v>1</v>
      </c>
      <c r="AG22" s="128"/>
      <c r="AH22" s="129" t="str">
        <f t="shared" si="16"/>
        <v>NA</v>
      </c>
      <c r="AI22" s="128"/>
      <c r="AJ22" s="129" t="str">
        <f t="shared" si="17"/>
        <v>NA</v>
      </c>
      <c r="AK22" s="127">
        <f t="shared" si="18"/>
        <v>10</v>
      </c>
      <c r="AL22" s="127"/>
      <c r="AM22" s="170" t="str">
        <f t="shared" si="19"/>
        <v>NA</v>
      </c>
      <c r="AN22" s="127"/>
      <c r="AO22" s="170" t="str">
        <f t="shared" si="20"/>
        <v>NA</v>
      </c>
      <c r="AP22" s="127"/>
      <c r="AQ22" s="170" t="str">
        <f t="shared" si="21"/>
        <v>NA</v>
      </c>
      <c r="AR22" s="127">
        <f t="shared" si="22"/>
        <v>0</v>
      </c>
      <c r="AS22" s="191">
        <v>10</v>
      </c>
      <c r="AT22" s="129">
        <f t="shared" si="23"/>
        <v>1</v>
      </c>
      <c r="AU22" s="128"/>
      <c r="AV22" s="129" t="str">
        <f t="shared" si="24"/>
        <v>NA</v>
      </c>
      <c r="AW22" s="128"/>
      <c r="AX22" s="129" t="str">
        <f t="shared" si="25"/>
        <v>NA</v>
      </c>
      <c r="AY22" s="127">
        <f t="shared" si="26"/>
        <v>10</v>
      </c>
      <c r="AZ22" s="161">
        <f t="shared" si="27"/>
        <v>20</v>
      </c>
      <c r="BA22" s="162">
        <f t="shared" si="28"/>
        <v>64</v>
      </c>
    </row>
    <row r="23" spans="1:261" ht="20.100000000000001" customHeight="1" outlineLevel="1" thickBot="1" x14ac:dyDescent="0.3">
      <c r="A23" s="144">
        <v>15</v>
      </c>
      <c r="B23" s="147" t="s">
        <v>203</v>
      </c>
      <c r="C23" s="152"/>
      <c r="D23" s="182">
        <v>11</v>
      </c>
      <c r="E23" s="158">
        <f t="shared" si="1"/>
        <v>0.91666666666666663</v>
      </c>
      <c r="F23" s="184">
        <v>2</v>
      </c>
      <c r="G23" s="158">
        <f t="shared" si="4"/>
        <v>1</v>
      </c>
      <c r="H23" s="184">
        <v>4</v>
      </c>
      <c r="I23" s="158">
        <f t="shared" si="5"/>
        <v>0.66666666666666663</v>
      </c>
      <c r="J23" s="144"/>
      <c r="K23" s="158" t="str">
        <f t="shared" si="6"/>
        <v>NA</v>
      </c>
      <c r="L23" s="135">
        <f t="shared" si="0"/>
        <v>17</v>
      </c>
      <c r="M23" s="187">
        <v>10</v>
      </c>
      <c r="N23" s="159">
        <f t="shared" si="7"/>
        <v>0.83333333333333337</v>
      </c>
      <c r="O23" s="187">
        <v>17</v>
      </c>
      <c r="P23" s="159">
        <f t="shared" si="8"/>
        <v>0.73913043478260865</v>
      </c>
      <c r="Q23" s="187">
        <v>13</v>
      </c>
      <c r="R23" s="159">
        <f t="shared" si="9"/>
        <v>0.8666666666666667</v>
      </c>
      <c r="S23" s="145"/>
      <c r="T23" s="159" t="str">
        <f t="shared" si="10"/>
        <v>NA</v>
      </c>
      <c r="U23" s="136">
        <f t="shared" si="2"/>
        <v>40</v>
      </c>
      <c r="V23" s="184">
        <v>3</v>
      </c>
      <c r="W23" s="160">
        <f t="shared" si="11"/>
        <v>1</v>
      </c>
      <c r="X23" s="184">
        <v>4</v>
      </c>
      <c r="Y23" s="160">
        <f t="shared" si="12"/>
        <v>1</v>
      </c>
      <c r="Z23" s="184">
        <v>3</v>
      </c>
      <c r="AA23" s="160">
        <f t="shared" si="13"/>
        <v>1</v>
      </c>
      <c r="AB23" s="144"/>
      <c r="AC23" s="160" t="str">
        <f t="shared" si="3"/>
        <v>NA</v>
      </c>
      <c r="AD23" s="137">
        <f t="shared" si="14"/>
        <v>10</v>
      </c>
      <c r="AE23" s="191">
        <v>10</v>
      </c>
      <c r="AF23" s="129">
        <f t="shared" si="15"/>
        <v>1</v>
      </c>
      <c r="AG23" s="128"/>
      <c r="AH23" s="129" t="str">
        <f t="shared" si="16"/>
        <v>NA</v>
      </c>
      <c r="AI23" s="128"/>
      <c r="AJ23" s="129" t="str">
        <f t="shared" si="17"/>
        <v>NA</v>
      </c>
      <c r="AK23" s="127">
        <f t="shared" si="18"/>
        <v>10</v>
      </c>
      <c r="AL23" s="127"/>
      <c r="AM23" s="170" t="str">
        <f t="shared" si="19"/>
        <v>NA</v>
      </c>
      <c r="AN23" s="127"/>
      <c r="AO23" s="170" t="str">
        <f t="shared" si="20"/>
        <v>NA</v>
      </c>
      <c r="AP23" s="127"/>
      <c r="AQ23" s="170" t="str">
        <f t="shared" si="21"/>
        <v>NA</v>
      </c>
      <c r="AR23" s="127">
        <f t="shared" si="22"/>
        <v>0</v>
      </c>
      <c r="AS23" s="191">
        <v>9</v>
      </c>
      <c r="AT23" s="129">
        <f t="shared" si="23"/>
        <v>0.9</v>
      </c>
      <c r="AU23" s="128"/>
      <c r="AV23" s="129" t="str">
        <f t="shared" si="24"/>
        <v>NA</v>
      </c>
      <c r="AW23" s="128"/>
      <c r="AX23" s="129" t="str">
        <f t="shared" si="25"/>
        <v>NA</v>
      </c>
      <c r="AY23" s="127">
        <f t="shared" si="26"/>
        <v>9</v>
      </c>
      <c r="AZ23" s="161">
        <f t="shared" si="27"/>
        <v>19</v>
      </c>
      <c r="BA23" s="162">
        <f t="shared" si="28"/>
        <v>86</v>
      </c>
    </row>
    <row r="24" spans="1:261" ht="20.100000000000001" customHeight="1" outlineLevel="1" thickBot="1" x14ac:dyDescent="0.3">
      <c r="A24" s="144">
        <v>16</v>
      </c>
      <c r="B24" s="147" t="s">
        <v>204</v>
      </c>
      <c r="C24" s="152"/>
      <c r="D24" s="182">
        <v>11</v>
      </c>
      <c r="E24" s="158">
        <f t="shared" si="1"/>
        <v>0.91666666666666663</v>
      </c>
      <c r="F24" s="184">
        <v>1</v>
      </c>
      <c r="G24" s="158">
        <f t="shared" si="4"/>
        <v>0.5</v>
      </c>
      <c r="H24" s="184">
        <v>6</v>
      </c>
      <c r="I24" s="158">
        <f t="shared" si="5"/>
        <v>1</v>
      </c>
      <c r="J24" s="144"/>
      <c r="K24" s="158" t="str">
        <f t="shared" si="6"/>
        <v>NA</v>
      </c>
      <c r="L24" s="135">
        <f t="shared" si="0"/>
        <v>18</v>
      </c>
      <c r="M24" s="187">
        <v>9</v>
      </c>
      <c r="N24" s="159">
        <f t="shared" si="7"/>
        <v>0.75</v>
      </c>
      <c r="O24" s="187">
        <v>19</v>
      </c>
      <c r="P24" s="159">
        <f t="shared" si="8"/>
        <v>0.82608695652173914</v>
      </c>
      <c r="Q24" s="187">
        <v>13</v>
      </c>
      <c r="R24" s="159">
        <f t="shared" si="9"/>
        <v>0.8666666666666667</v>
      </c>
      <c r="S24" s="145"/>
      <c r="T24" s="159" t="str">
        <f t="shared" si="10"/>
        <v>NA</v>
      </c>
      <c r="U24" s="136">
        <f t="shared" si="2"/>
        <v>41</v>
      </c>
      <c r="V24" s="184">
        <v>3</v>
      </c>
      <c r="W24" s="160">
        <f t="shared" si="11"/>
        <v>1</v>
      </c>
      <c r="X24" s="184">
        <v>4</v>
      </c>
      <c r="Y24" s="160">
        <f t="shared" si="12"/>
        <v>1</v>
      </c>
      <c r="Z24" s="184">
        <v>3</v>
      </c>
      <c r="AA24" s="160">
        <f t="shared" si="13"/>
        <v>1</v>
      </c>
      <c r="AB24" s="144"/>
      <c r="AC24" s="160" t="str">
        <f t="shared" si="3"/>
        <v>NA</v>
      </c>
      <c r="AD24" s="137">
        <f t="shared" si="14"/>
        <v>10</v>
      </c>
      <c r="AE24" s="191">
        <v>10</v>
      </c>
      <c r="AF24" s="129">
        <f t="shared" si="15"/>
        <v>1</v>
      </c>
      <c r="AG24" s="128"/>
      <c r="AH24" s="129" t="str">
        <f t="shared" si="16"/>
        <v>NA</v>
      </c>
      <c r="AI24" s="128"/>
      <c r="AJ24" s="129" t="str">
        <f t="shared" si="17"/>
        <v>NA</v>
      </c>
      <c r="AK24" s="127">
        <f t="shared" si="18"/>
        <v>10</v>
      </c>
      <c r="AL24" s="127"/>
      <c r="AM24" s="170" t="str">
        <f t="shared" si="19"/>
        <v>NA</v>
      </c>
      <c r="AN24" s="127"/>
      <c r="AO24" s="170" t="str">
        <f t="shared" si="20"/>
        <v>NA</v>
      </c>
      <c r="AP24" s="127"/>
      <c r="AQ24" s="170" t="str">
        <f t="shared" si="21"/>
        <v>NA</v>
      </c>
      <c r="AR24" s="127">
        <f t="shared" si="22"/>
        <v>0</v>
      </c>
      <c r="AS24" s="191">
        <v>10</v>
      </c>
      <c r="AT24" s="129">
        <f t="shared" si="23"/>
        <v>1</v>
      </c>
      <c r="AU24" s="128"/>
      <c r="AV24" s="129" t="str">
        <f t="shared" si="24"/>
        <v>NA</v>
      </c>
      <c r="AW24" s="128"/>
      <c r="AX24" s="129" t="str">
        <f t="shared" si="25"/>
        <v>NA</v>
      </c>
      <c r="AY24" s="127">
        <f t="shared" si="26"/>
        <v>10</v>
      </c>
      <c r="AZ24" s="161">
        <f t="shared" si="27"/>
        <v>20</v>
      </c>
      <c r="BA24" s="162">
        <f t="shared" si="28"/>
        <v>89</v>
      </c>
    </row>
    <row r="25" spans="1:261" ht="20.100000000000001" customHeight="1" outlineLevel="1" thickBot="1" x14ac:dyDescent="0.3">
      <c r="A25" s="144">
        <v>17</v>
      </c>
      <c r="B25" s="148" t="s">
        <v>205</v>
      </c>
      <c r="C25" s="153"/>
      <c r="D25" s="182">
        <v>10</v>
      </c>
      <c r="E25" s="158">
        <f t="shared" si="1"/>
        <v>0.83333333333333337</v>
      </c>
      <c r="F25" s="184">
        <v>1</v>
      </c>
      <c r="G25" s="158">
        <f t="shared" si="4"/>
        <v>0.5</v>
      </c>
      <c r="H25" s="184">
        <v>5</v>
      </c>
      <c r="I25" s="158">
        <f t="shared" si="5"/>
        <v>0.83333333333333337</v>
      </c>
      <c r="J25" s="144"/>
      <c r="K25" s="158" t="str">
        <f t="shared" si="6"/>
        <v>NA</v>
      </c>
      <c r="L25" s="135">
        <f t="shared" si="0"/>
        <v>16</v>
      </c>
      <c r="M25" s="187">
        <v>7</v>
      </c>
      <c r="N25" s="159">
        <f t="shared" si="7"/>
        <v>0.58333333333333337</v>
      </c>
      <c r="O25" s="187">
        <v>14</v>
      </c>
      <c r="P25" s="159">
        <f t="shared" si="8"/>
        <v>0.60869565217391308</v>
      </c>
      <c r="Q25" s="187">
        <v>9</v>
      </c>
      <c r="R25" s="159">
        <f t="shared" si="9"/>
        <v>0.6</v>
      </c>
      <c r="S25" s="145"/>
      <c r="T25" s="159" t="str">
        <f t="shared" si="10"/>
        <v>NA</v>
      </c>
      <c r="U25" s="136">
        <f t="shared" si="2"/>
        <v>30</v>
      </c>
      <c r="V25" s="184">
        <v>3</v>
      </c>
      <c r="W25" s="160">
        <f t="shared" si="11"/>
        <v>1</v>
      </c>
      <c r="X25" s="184">
        <v>3</v>
      </c>
      <c r="Y25" s="160">
        <f t="shared" si="12"/>
        <v>0.75</v>
      </c>
      <c r="Z25" s="184">
        <v>3</v>
      </c>
      <c r="AA25" s="160">
        <f t="shared" si="13"/>
        <v>1</v>
      </c>
      <c r="AB25" s="144"/>
      <c r="AC25" s="160" t="str">
        <f t="shared" si="3"/>
        <v>NA</v>
      </c>
      <c r="AD25" s="137">
        <f t="shared" si="14"/>
        <v>9</v>
      </c>
      <c r="AE25" s="191">
        <v>10</v>
      </c>
      <c r="AF25" s="129">
        <f t="shared" si="15"/>
        <v>1</v>
      </c>
      <c r="AG25" s="128"/>
      <c r="AH25" s="129" t="str">
        <f t="shared" si="16"/>
        <v>NA</v>
      </c>
      <c r="AI25" s="128"/>
      <c r="AJ25" s="129" t="str">
        <f t="shared" si="17"/>
        <v>NA</v>
      </c>
      <c r="AK25" s="127">
        <f t="shared" si="18"/>
        <v>10</v>
      </c>
      <c r="AL25" s="127"/>
      <c r="AM25" s="170" t="str">
        <f t="shared" si="19"/>
        <v>NA</v>
      </c>
      <c r="AN25" s="127"/>
      <c r="AO25" s="170" t="str">
        <f t="shared" si="20"/>
        <v>NA</v>
      </c>
      <c r="AP25" s="127"/>
      <c r="AQ25" s="170" t="str">
        <f t="shared" si="21"/>
        <v>NA</v>
      </c>
      <c r="AR25" s="127">
        <f t="shared" si="22"/>
        <v>0</v>
      </c>
      <c r="AS25" s="191">
        <v>9</v>
      </c>
      <c r="AT25" s="129">
        <f t="shared" si="23"/>
        <v>0.9</v>
      </c>
      <c r="AU25" s="128"/>
      <c r="AV25" s="129" t="str">
        <f t="shared" si="24"/>
        <v>NA</v>
      </c>
      <c r="AW25" s="128"/>
      <c r="AX25" s="129" t="str">
        <f t="shared" si="25"/>
        <v>NA</v>
      </c>
      <c r="AY25" s="127">
        <f t="shared" si="26"/>
        <v>9</v>
      </c>
      <c r="AZ25" s="161">
        <f t="shared" si="27"/>
        <v>19</v>
      </c>
      <c r="BA25" s="162">
        <f t="shared" si="28"/>
        <v>74</v>
      </c>
    </row>
    <row r="26" spans="1:261" ht="20.100000000000001" customHeight="1" outlineLevel="1" thickBot="1" x14ac:dyDescent="0.3">
      <c r="A26" s="144">
        <v>18</v>
      </c>
      <c r="B26" s="149" t="s">
        <v>206</v>
      </c>
      <c r="C26" s="153"/>
      <c r="D26" s="182">
        <v>11</v>
      </c>
      <c r="E26" s="158">
        <f t="shared" si="1"/>
        <v>0.91666666666666663</v>
      </c>
      <c r="F26" s="184">
        <v>2</v>
      </c>
      <c r="G26" s="158">
        <f t="shared" si="4"/>
        <v>1</v>
      </c>
      <c r="H26" s="184">
        <v>4</v>
      </c>
      <c r="I26" s="158">
        <f t="shared" si="5"/>
        <v>0.66666666666666663</v>
      </c>
      <c r="J26" s="144"/>
      <c r="K26" s="158" t="str">
        <f t="shared" si="6"/>
        <v>NA</v>
      </c>
      <c r="L26" s="135">
        <f t="shared" si="0"/>
        <v>17</v>
      </c>
      <c r="M26" s="187">
        <v>10</v>
      </c>
      <c r="N26" s="159">
        <f t="shared" si="7"/>
        <v>0.83333333333333337</v>
      </c>
      <c r="O26" s="187">
        <v>20</v>
      </c>
      <c r="P26" s="159">
        <f t="shared" si="8"/>
        <v>0.86956521739130432</v>
      </c>
      <c r="Q26" s="187">
        <v>9</v>
      </c>
      <c r="R26" s="159">
        <f t="shared" si="9"/>
        <v>0.6</v>
      </c>
      <c r="S26" s="145"/>
      <c r="T26" s="159" t="str">
        <f t="shared" si="10"/>
        <v>NA</v>
      </c>
      <c r="U26" s="136">
        <f t="shared" si="2"/>
        <v>39</v>
      </c>
      <c r="V26" s="184">
        <v>3</v>
      </c>
      <c r="W26" s="160">
        <f t="shared" si="11"/>
        <v>1</v>
      </c>
      <c r="X26" s="184">
        <v>3</v>
      </c>
      <c r="Y26" s="160">
        <f t="shared" si="12"/>
        <v>0.75</v>
      </c>
      <c r="Z26" s="184">
        <v>3</v>
      </c>
      <c r="AA26" s="160">
        <f t="shared" si="13"/>
        <v>1</v>
      </c>
      <c r="AB26" s="144"/>
      <c r="AC26" s="160" t="str">
        <f t="shared" si="3"/>
        <v>NA</v>
      </c>
      <c r="AD26" s="137">
        <f t="shared" si="14"/>
        <v>9</v>
      </c>
      <c r="AE26" s="191">
        <v>10</v>
      </c>
      <c r="AF26" s="129">
        <f t="shared" si="15"/>
        <v>1</v>
      </c>
      <c r="AG26" s="128"/>
      <c r="AH26" s="129" t="str">
        <f t="shared" si="16"/>
        <v>NA</v>
      </c>
      <c r="AI26" s="128"/>
      <c r="AJ26" s="129" t="str">
        <f t="shared" si="17"/>
        <v>NA</v>
      </c>
      <c r="AK26" s="127">
        <f t="shared" si="18"/>
        <v>10</v>
      </c>
      <c r="AL26" s="127"/>
      <c r="AM26" s="170" t="str">
        <f t="shared" si="19"/>
        <v>NA</v>
      </c>
      <c r="AN26" s="127"/>
      <c r="AO26" s="170" t="str">
        <f t="shared" si="20"/>
        <v>NA</v>
      </c>
      <c r="AP26" s="127"/>
      <c r="AQ26" s="170" t="str">
        <f t="shared" si="21"/>
        <v>NA</v>
      </c>
      <c r="AR26" s="127">
        <f t="shared" si="22"/>
        <v>0</v>
      </c>
      <c r="AS26" s="191">
        <v>9</v>
      </c>
      <c r="AT26" s="129">
        <f t="shared" si="23"/>
        <v>0.9</v>
      </c>
      <c r="AU26" s="128"/>
      <c r="AV26" s="129" t="str">
        <f t="shared" si="24"/>
        <v>NA</v>
      </c>
      <c r="AW26" s="128"/>
      <c r="AX26" s="129" t="str">
        <f t="shared" si="25"/>
        <v>NA</v>
      </c>
      <c r="AY26" s="127">
        <f t="shared" si="26"/>
        <v>9</v>
      </c>
      <c r="AZ26" s="161">
        <f t="shared" si="27"/>
        <v>19</v>
      </c>
      <c r="BA26" s="162">
        <f t="shared" si="28"/>
        <v>84</v>
      </c>
    </row>
    <row r="27" spans="1:261" ht="20.100000000000001" customHeight="1" outlineLevel="1" thickBot="1" x14ac:dyDescent="0.3">
      <c r="A27" s="144">
        <v>19</v>
      </c>
      <c r="B27" s="147" t="s">
        <v>207</v>
      </c>
      <c r="C27" s="152"/>
      <c r="D27" s="182">
        <v>11</v>
      </c>
      <c r="E27" s="158">
        <f t="shared" si="1"/>
        <v>0.91666666666666663</v>
      </c>
      <c r="F27" s="184">
        <v>1</v>
      </c>
      <c r="G27" s="158">
        <f t="shared" si="4"/>
        <v>0.5</v>
      </c>
      <c r="H27" s="184">
        <v>5</v>
      </c>
      <c r="I27" s="158">
        <f t="shared" si="5"/>
        <v>0.83333333333333337</v>
      </c>
      <c r="J27" s="144"/>
      <c r="K27" s="158" t="str">
        <f t="shared" si="6"/>
        <v>NA</v>
      </c>
      <c r="L27" s="135">
        <f t="shared" si="0"/>
        <v>17</v>
      </c>
      <c r="M27" s="187">
        <v>10</v>
      </c>
      <c r="N27" s="159">
        <f t="shared" si="7"/>
        <v>0.83333333333333337</v>
      </c>
      <c r="O27" s="187">
        <v>19</v>
      </c>
      <c r="P27" s="159">
        <f t="shared" si="8"/>
        <v>0.82608695652173914</v>
      </c>
      <c r="Q27" s="187">
        <v>9</v>
      </c>
      <c r="R27" s="159">
        <f t="shared" si="9"/>
        <v>0.6</v>
      </c>
      <c r="S27" s="145"/>
      <c r="T27" s="159" t="str">
        <f t="shared" si="10"/>
        <v>NA</v>
      </c>
      <c r="U27" s="136">
        <f t="shared" si="2"/>
        <v>38</v>
      </c>
      <c r="V27" s="184">
        <v>3</v>
      </c>
      <c r="W27" s="160">
        <f t="shared" si="11"/>
        <v>1</v>
      </c>
      <c r="X27" s="184">
        <v>3</v>
      </c>
      <c r="Y27" s="160">
        <f t="shared" si="12"/>
        <v>0.75</v>
      </c>
      <c r="Z27" s="184">
        <v>3</v>
      </c>
      <c r="AA27" s="160">
        <f t="shared" si="13"/>
        <v>1</v>
      </c>
      <c r="AB27" s="144"/>
      <c r="AC27" s="160" t="str">
        <f t="shared" si="3"/>
        <v>NA</v>
      </c>
      <c r="AD27" s="137">
        <f t="shared" si="14"/>
        <v>9</v>
      </c>
      <c r="AE27" s="191">
        <v>10</v>
      </c>
      <c r="AF27" s="129">
        <f t="shared" si="15"/>
        <v>1</v>
      </c>
      <c r="AG27" s="128"/>
      <c r="AH27" s="129" t="str">
        <f t="shared" si="16"/>
        <v>NA</v>
      </c>
      <c r="AI27" s="128"/>
      <c r="AJ27" s="129" t="str">
        <f t="shared" si="17"/>
        <v>NA</v>
      </c>
      <c r="AK27" s="127">
        <f t="shared" si="18"/>
        <v>10</v>
      </c>
      <c r="AL27" s="127"/>
      <c r="AM27" s="170" t="str">
        <f t="shared" si="19"/>
        <v>NA</v>
      </c>
      <c r="AN27" s="127"/>
      <c r="AO27" s="170" t="str">
        <f t="shared" si="20"/>
        <v>NA</v>
      </c>
      <c r="AP27" s="127"/>
      <c r="AQ27" s="170" t="str">
        <f t="shared" si="21"/>
        <v>NA</v>
      </c>
      <c r="AR27" s="127">
        <f t="shared" si="22"/>
        <v>0</v>
      </c>
      <c r="AS27" s="191">
        <v>9</v>
      </c>
      <c r="AT27" s="129">
        <f t="shared" si="23"/>
        <v>0.9</v>
      </c>
      <c r="AU27" s="128"/>
      <c r="AV27" s="129" t="str">
        <f t="shared" si="24"/>
        <v>NA</v>
      </c>
      <c r="AW27" s="128"/>
      <c r="AX27" s="129" t="str">
        <f t="shared" si="25"/>
        <v>NA</v>
      </c>
      <c r="AY27" s="127">
        <f t="shared" si="26"/>
        <v>9</v>
      </c>
      <c r="AZ27" s="161">
        <f t="shared" si="27"/>
        <v>19</v>
      </c>
      <c r="BA27" s="162">
        <f t="shared" si="28"/>
        <v>83</v>
      </c>
    </row>
    <row r="28" spans="1:261" ht="20.100000000000001" customHeight="1" outlineLevel="1" thickBot="1" x14ac:dyDescent="0.3">
      <c r="A28" s="144">
        <v>20</v>
      </c>
      <c r="B28" s="146" t="s">
        <v>208</v>
      </c>
      <c r="C28" s="152"/>
      <c r="D28" s="182">
        <v>10</v>
      </c>
      <c r="E28" s="158">
        <f t="shared" si="1"/>
        <v>0.83333333333333337</v>
      </c>
      <c r="F28" s="184">
        <v>1</v>
      </c>
      <c r="G28" s="158">
        <f t="shared" si="4"/>
        <v>0.5</v>
      </c>
      <c r="H28" s="184">
        <v>5</v>
      </c>
      <c r="I28" s="158">
        <f t="shared" si="5"/>
        <v>0.83333333333333337</v>
      </c>
      <c r="J28" s="144"/>
      <c r="K28" s="158" t="str">
        <f t="shared" si="6"/>
        <v>NA</v>
      </c>
      <c r="L28" s="135">
        <f t="shared" si="0"/>
        <v>16</v>
      </c>
      <c r="M28" s="187">
        <v>10</v>
      </c>
      <c r="N28" s="159">
        <f t="shared" si="7"/>
        <v>0.83333333333333337</v>
      </c>
      <c r="O28" s="187">
        <v>12</v>
      </c>
      <c r="P28" s="159">
        <f t="shared" si="8"/>
        <v>0.52173913043478259</v>
      </c>
      <c r="Q28" s="187">
        <v>10</v>
      </c>
      <c r="R28" s="159">
        <f t="shared" si="9"/>
        <v>0.66666666666666663</v>
      </c>
      <c r="S28" s="145"/>
      <c r="T28" s="159" t="str">
        <f t="shared" si="10"/>
        <v>NA</v>
      </c>
      <c r="U28" s="136">
        <f t="shared" si="2"/>
        <v>32</v>
      </c>
      <c r="V28" s="184">
        <v>3</v>
      </c>
      <c r="W28" s="160">
        <f t="shared" si="11"/>
        <v>1</v>
      </c>
      <c r="X28" s="184">
        <v>2</v>
      </c>
      <c r="Y28" s="160">
        <f t="shared" si="12"/>
        <v>0.5</v>
      </c>
      <c r="Z28" s="184">
        <v>3</v>
      </c>
      <c r="AA28" s="160">
        <f t="shared" si="13"/>
        <v>1</v>
      </c>
      <c r="AB28" s="144"/>
      <c r="AC28" s="160" t="str">
        <f t="shared" si="3"/>
        <v>NA</v>
      </c>
      <c r="AD28" s="137">
        <f t="shared" si="14"/>
        <v>8</v>
      </c>
      <c r="AE28" s="191">
        <v>10</v>
      </c>
      <c r="AF28" s="129">
        <f t="shared" si="15"/>
        <v>1</v>
      </c>
      <c r="AG28" s="128"/>
      <c r="AH28" s="129" t="str">
        <f t="shared" si="16"/>
        <v>NA</v>
      </c>
      <c r="AI28" s="128"/>
      <c r="AJ28" s="129" t="str">
        <f t="shared" si="17"/>
        <v>NA</v>
      </c>
      <c r="AK28" s="127">
        <f t="shared" si="18"/>
        <v>10</v>
      </c>
      <c r="AL28" s="127"/>
      <c r="AM28" s="170" t="str">
        <f t="shared" si="19"/>
        <v>NA</v>
      </c>
      <c r="AN28" s="127"/>
      <c r="AO28" s="170" t="str">
        <f t="shared" si="20"/>
        <v>NA</v>
      </c>
      <c r="AP28" s="127"/>
      <c r="AQ28" s="170" t="str">
        <f t="shared" si="21"/>
        <v>NA</v>
      </c>
      <c r="AR28" s="127">
        <f t="shared" si="22"/>
        <v>0</v>
      </c>
      <c r="AS28" s="191">
        <v>10</v>
      </c>
      <c r="AT28" s="129">
        <f t="shared" si="23"/>
        <v>1</v>
      </c>
      <c r="AU28" s="128"/>
      <c r="AV28" s="129" t="str">
        <f t="shared" si="24"/>
        <v>NA</v>
      </c>
      <c r="AW28" s="128"/>
      <c r="AX28" s="129" t="str">
        <f t="shared" si="25"/>
        <v>NA</v>
      </c>
      <c r="AY28" s="127">
        <f t="shared" si="26"/>
        <v>10</v>
      </c>
      <c r="AZ28" s="161">
        <f t="shared" si="27"/>
        <v>20</v>
      </c>
      <c r="BA28" s="162">
        <f t="shared" si="28"/>
        <v>76</v>
      </c>
    </row>
    <row r="29" spans="1:261" ht="20.100000000000001" customHeight="1" outlineLevel="1" thickBot="1" x14ac:dyDescent="0.3">
      <c r="A29" s="144">
        <v>21</v>
      </c>
      <c r="B29" s="147" t="s">
        <v>209</v>
      </c>
      <c r="C29" s="152"/>
      <c r="D29" s="182">
        <v>11</v>
      </c>
      <c r="E29" s="158">
        <f t="shared" si="1"/>
        <v>0.91666666666666663</v>
      </c>
      <c r="F29" s="184">
        <v>1</v>
      </c>
      <c r="G29" s="158">
        <f t="shared" si="4"/>
        <v>0.5</v>
      </c>
      <c r="H29" s="184">
        <v>6</v>
      </c>
      <c r="I29" s="158">
        <f t="shared" si="5"/>
        <v>1</v>
      </c>
      <c r="J29" s="144"/>
      <c r="K29" s="158" t="str">
        <f t="shared" si="6"/>
        <v>NA</v>
      </c>
      <c r="L29" s="135">
        <f t="shared" si="0"/>
        <v>18</v>
      </c>
      <c r="M29" s="187">
        <v>10</v>
      </c>
      <c r="N29" s="159">
        <f t="shared" si="7"/>
        <v>0.83333333333333337</v>
      </c>
      <c r="O29" s="187">
        <v>17</v>
      </c>
      <c r="P29" s="159">
        <f t="shared" si="8"/>
        <v>0.73913043478260865</v>
      </c>
      <c r="Q29" s="187">
        <v>10</v>
      </c>
      <c r="R29" s="159">
        <f t="shared" si="9"/>
        <v>0.66666666666666663</v>
      </c>
      <c r="S29" s="145"/>
      <c r="T29" s="159" t="str">
        <f t="shared" si="10"/>
        <v>NA</v>
      </c>
      <c r="U29" s="136">
        <f t="shared" si="2"/>
        <v>37</v>
      </c>
      <c r="V29" s="184">
        <v>3</v>
      </c>
      <c r="W29" s="160">
        <f t="shared" si="11"/>
        <v>1</v>
      </c>
      <c r="X29" s="184">
        <v>3</v>
      </c>
      <c r="Y29" s="160">
        <f t="shared" si="12"/>
        <v>0.75</v>
      </c>
      <c r="Z29" s="184">
        <v>3</v>
      </c>
      <c r="AA29" s="160">
        <f t="shared" si="13"/>
        <v>1</v>
      </c>
      <c r="AB29" s="144"/>
      <c r="AC29" s="160" t="str">
        <f t="shared" si="3"/>
        <v>NA</v>
      </c>
      <c r="AD29" s="137">
        <f t="shared" si="14"/>
        <v>9</v>
      </c>
      <c r="AE29" s="191">
        <v>10</v>
      </c>
      <c r="AF29" s="129">
        <f t="shared" si="15"/>
        <v>1</v>
      </c>
      <c r="AG29" s="128"/>
      <c r="AH29" s="129" t="str">
        <f t="shared" si="16"/>
        <v>NA</v>
      </c>
      <c r="AI29" s="128"/>
      <c r="AJ29" s="129" t="str">
        <f t="shared" si="17"/>
        <v>NA</v>
      </c>
      <c r="AK29" s="127">
        <f t="shared" si="18"/>
        <v>10</v>
      </c>
      <c r="AL29" s="127"/>
      <c r="AM29" s="170" t="str">
        <f t="shared" si="19"/>
        <v>NA</v>
      </c>
      <c r="AN29" s="127"/>
      <c r="AO29" s="170" t="str">
        <f t="shared" si="20"/>
        <v>NA</v>
      </c>
      <c r="AP29" s="127"/>
      <c r="AQ29" s="170" t="str">
        <f t="shared" si="21"/>
        <v>NA</v>
      </c>
      <c r="AR29" s="127">
        <f t="shared" si="22"/>
        <v>0</v>
      </c>
      <c r="AS29" s="191">
        <v>10</v>
      </c>
      <c r="AT29" s="129">
        <f t="shared" si="23"/>
        <v>1</v>
      </c>
      <c r="AU29" s="128"/>
      <c r="AV29" s="129" t="str">
        <f t="shared" si="24"/>
        <v>NA</v>
      </c>
      <c r="AW29" s="128"/>
      <c r="AX29" s="129" t="str">
        <f t="shared" si="25"/>
        <v>NA</v>
      </c>
      <c r="AY29" s="127">
        <f t="shared" si="26"/>
        <v>10</v>
      </c>
      <c r="AZ29" s="161">
        <f t="shared" si="27"/>
        <v>20</v>
      </c>
      <c r="BA29" s="162">
        <f t="shared" si="28"/>
        <v>84</v>
      </c>
    </row>
    <row r="30" spans="1:261" ht="20.100000000000001" customHeight="1" outlineLevel="1" thickBot="1" x14ac:dyDescent="0.3">
      <c r="A30" s="144">
        <v>22</v>
      </c>
      <c r="B30" s="146" t="s">
        <v>210</v>
      </c>
      <c r="C30" s="154"/>
      <c r="D30" s="182">
        <v>11</v>
      </c>
      <c r="E30" s="158">
        <f t="shared" si="1"/>
        <v>0.91666666666666663</v>
      </c>
      <c r="F30" s="184">
        <v>2</v>
      </c>
      <c r="G30" s="158">
        <f t="shared" si="4"/>
        <v>1</v>
      </c>
      <c r="H30" s="184">
        <v>4</v>
      </c>
      <c r="I30" s="158">
        <f t="shared" si="5"/>
        <v>0.66666666666666663</v>
      </c>
      <c r="J30" s="144"/>
      <c r="K30" s="158" t="str">
        <f t="shared" si="6"/>
        <v>NA</v>
      </c>
      <c r="L30" s="135">
        <f t="shared" si="0"/>
        <v>17</v>
      </c>
      <c r="M30" s="187">
        <v>12</v>
      </c>
      <c r="N30" s="159">
        <f t="shared" si="7"/>
        <v>1</v>
      </c>
      <c r="O30" s="187">
        <v>15</v>
      </c>
      <c r="P30" s="159">
        <f t="shared" si="8"/>
        <v>0.65217391304347827</v>
      </c>
      <c r="Q30" s="187">
        <v>13</v>
      </c>
      <c r="R30" s="159">
        <f t="shared" si="9"/>
        <v>0.8666666666666667</v>
      </c>
      <c r="S30" s="145"/>
      <c r="T30" s="159" t="str">
        <f t="shared" si="10"/>
        <v>NA</v>
      </c>
      <c r="U30" s="136">
        <f t="shared" si="2"/>
        <v>40</v>
      </c>
      <c r="V30" s="184">
        <v>3</v>
      </c>
      <c r="W30" s="160">
        <f t="shared" si="11"/>
        <v>1</v>
      </c>
      <c r="X30" s="184">
        <v>4</v>
      </c>
      <c r="Y30" s="160">
        <f t="shared" si="12"/>
        <v>1</v>
      </c>
      <c r="Z30" s="184">
        <v>3</v>
      </c>
      <c r="AA30" s="160">
        <f t="shared" si="13"/>
        <v>1</v>
      </c>
      <c r="AB30" s="144"/>
      <c r="AC30" s="160" t="str">
        <f t="shared" si="3"/>
        <v>NA</v>
      </c>
      <c r="AD30" s="137">
        <f t="shared" si="14"/>
        <v>10</v>
      </c>
      <c r="AE30" s="191">
        <v>10</v>
      </c>
      <c r="AF30" s="129">
        <f t="shared" si="15"/>
        <v>1</v>
      </c>
      <c r="AG30" s="128"/>
      <c r="AH30" s="129" t="str">
        <f t="shared" si="16"/>
        <v>NA</v>
      </c>
      <c r="AI30" s="128"/>
      <c r="AJ30" s="129" t="str">
        <f t="shared" si="17"/>
        <v>NA</v>
      </c>
      <c r="AK30" s="127">
        <f t="shared" si="18"/>
        <v>10</v>
      </c>
      <c r="AL30" s="127"/>
      <c r="AM30" s="170" t="str">
        <f t="shared" si="19"/>
        <v>NA</v>
      </c>
      <c r="AN30" s="127"/>
      <c r="AO30" s="170" t="str">
        <f t="shared" si="20"/>
        <v>NA</v>
      </c>
      <c r="AP30" s="127"/>
      <c r="AQ30" s="170" t="str">
        <f t="shared" si="21"/>
        <v>NA</v>
      </c>
      <c r="AR30" s="127">
        <f t="shared" si="22"/>
        <v>0</v>
      </c>
      <c r="AS30" s="191">
        <v>8</v>
      </c>
      <c r="AT30" s="129">
        <f t="shared" si="23"/>
        <v>0.8</v>
      </c>
      <c r="AU30" s="128"/>
      <c r="AV30" s="129" t="str">
        <f t="shared" si="24"/>
        <v>NA</v>
      </c>
      <c r="AW30" s="128"/>
      <c r="AX30" s="129" t="str">
        <f t="shared" si="25"/>
        <v>NA</v>
      </c>
      <c r="AY30" s="127">
        <f t="shared" si="26"/>
        <v>8</v>
      </c>
      <c r="AZ30" s="161">
        <f t="shared" si="27"/>
        <v>18</v>
      </c>
      <c r="BA30" s="162">
        <f t="shared" si="28"/>
        <v>85</v>
      </c>
    </row>
    <row r="31" spans="1:261" ht="20.100000000000001" customHeight="1" outlineLevel="1" thickBot="1" x14ac:dyDescent="0.3">
      <c r="A31" s="144">
        <v>23</v>
      </c>
      <c r="B31" s="147" t="s">
        <v>211</v>
      </c>
      <c r="C31" s="152"/>
      <c r="D31" s="182">
        <v>12</v>
      </c>
      <c r="E31" s="158">
        <f t="shared" si="1"/>
        <v>1</v>
      </c>
      <c r="F31" s="184">
        <v>1</v>
      </c>
      <c r="G31" s="158">
        <f t="shared" si="4"/>
        <v>0.5</v>
      </c>
      <c r="H31" s="184">
        <v>5</v>
      </c>
      <c r="I31" s="158">
        <f t="shared" si="5"/>
        <v>0.83333333333333337</v>
      </c>
      <c r="J31" s="144"/>
      <c r="K31" s="158" t="str">
        <f t="shared" si="6"/>
        <v>NA</v>
      </c>
      <c r="L31" s="135">
        <f t="shared" si="0"/>
        <v>18</v>
      </c>
      <c r="M31" s="187">
        <v>10</v>
      </c>
      <c r="N31" s="159">
        <f t="shared" si="7"/>
        <v>0.83333333333333337</v>
      </c>
      <c r="O31" s="187">
        <v>19</v>
      </c>
      <c r="P31" s="159">
        <f t="shared" si="8"/>
        <v>0.82608695652173914</v>
      </c>
      <c r="Q31" s="187">
        <v>11</v>
      </c>
      <c r="R31" s="159">
        <f t="shared" si="9"/>
        <v>0.73333333333333328</v>
      </c>
      <c r="S31" s="145"/>
      <c r="T31" s="159" t="str">
        <f t="shared" si="10"/>
        <v>NA</v>
      </c>
      <c r="U31" s="136">
        <f t="shared" si="2"/>
        <v>40</v>
      </c>
      <c r="V31" s="184">
        <v>3</v>
      </c>
      <c r="W31" s="160">
        <f t="shared" si="11"/>
        <v>1</v>
      </c>
      <c r="X31" s="184">
        <v>4</v>
      </c>
      <c r="Y31" s="160">
        <f t="shared" si="12"/>
        <v>1</v>
      </c>
      <c r="Z31" s="184">
        <v>3</v>
      </c>
      <c r="AA31" s="160">
        <f t="shared" si="13"/>
        <v>1</v>
      </c>
      <c r="AB31" s="144"/>
      <c r="AC31" s="160" t="str">
        <f t="shared" si="3"/>
        <v>NA</v>
      </c>
      <c r="AD31" s="137">
        <f t="shared" si="14"/>
        <v>10</v>
      </c>
      <c r="AE31" s="191">
        <v>10</v>
      </c>
      <c r="AF31" s="129">
        <f t="shared" si="15"/>
        <v>1</v>
      </c>
      <c r="AG31" s="128"/>
      <c r="AH31" s="129" t="str">
        <f t="shared" si="16"/>
        <v>NA</v>
      </c>
      <c r="AI31" s="128"/>
      <c r="AJ31" s="129" t="str">
        <f t="shared" si="17"/>
        <v>NA</v>
      </c>
      <c r="AK31" s="127">
        <f t="shared" si="18"/>
        <v>10</v>
      </c>
      <c r="AL31" s="127"/>
      <c r="AM31" s="170" t="str">
        <f t="shared" si="19"/>
        <v>NA</v>
      </c>
      <c r="AN31" s="127"/>
      <c r="AO31" s="170" t="str">
        <f t="shared" si="20"/>
        <v>NA</v>
      </c>
      <c r="AP31" s="127"/>
      <c r="AQ31" s="170" t="str">
        <f t="shared" si="21"/>
        <v>NA</v>
      </c>
      <c r="AR31" s="127">
        <f t="shared" si="22"/>
        <v>0</v>
      </c>
      <c r="AS31" s="191">
        <v>9</v>
      </c>
      <c r="AT31" s="129">
        <f t="shared" si="23"/>
        <v>0.9</v>
      </c>
      <c r="AU31" s="128"/>
      <c r="AV31" s="129" t="str">
        <f t="shared" si="24"/>
        <v>NA</v>
      </c>
      <c r="AW31" s="128"/>
      <c r="AX31" s="129" t="str">
        <f t="shared" si="25"/>
        <v>NA</v>
      </c>
      <c r="AY31" s="127">
        <f t="shared" si="26"/>
        <v>9</v>
      </c>
      <c r="AZ31" s="161">
        <f t="shared" si="27"/>
        <v>19</v>
      </c>
      <c r="BA31" s="162">
        <f t="shared" si="28"/>
        <v>87</v>
      </c>
    </row>
    <row r="32" spans="1:261" ht="20.100000000000001" customHeight="1" outlineLevel="1" thickBot="1" x14ac:dyDescent="0.3">
      <c r="A32" s="144">
        <v>24</v>
      </c>
      <c r="B32" s="146" t="s">
        <v>212</v>
      </c>
      <c r="C32" s="152"/>
      <c r="D32" s="182">
        <v>11</v>
      </c>
      <c r="E32" s="158">
        <f t="shared" si="1"/>
        <v>0.91666666666666663</v>
      </c>
      <c r="F32" s="184">
        <v>2</v>
      </c>
      <c r="G32" s="158">
        <f t="shared" si="4"/>
        <v>1</v>
      </c>
      <c r="H32" s="184">
        <v>4</v>
      </c>
      <c r="I32" s="158">
        <f t="shared" si="5"/>
        <v>0.66666666666666663</v>
      </c>
      <c r="J32" s="144"/>
      <c r="K32" s="158" t="str">
        <f t="shared" si="6"/>
        <v>NA</v>
      </c>
      <c r="L32" s="135">
        <f t="shared" si="0"/>
        <v>17</v>
      </c>
      <c r="M32" s="187">
        <v>10</v>
      </c>
      <c r="N32" s="159">
        <f t="shared" si="7"/>
        <v>0.83333333333333337</v>
      </c>
      <c r="O32" s="187">
        <v>21</v>
      </c>
      <c r="P32" s="159">
        <f t="shared" si="8"/>
        <v>0.91304347826086951</v>
      </c>
      <c r="Q32" s="187">
        <v>11</v>
      </c>
      <c r="R32" s="159">
        <f t="shared" si="9"/>
        <v>0.73333333333333328</v>
      </c>
      <c r="S32" s="145"/>
      <c r="T32" s="159" t="str">
        <f t="shared" si="10"/>
        <v>NA</v>
      </c>
      <c r="U32" s="136">
        <f t="shared" si="2"/>
        <v>42</v>
      </c>
      <c r="V32" s="184">
        <v>3</v>
      </c>
      <c r="W32" s="160">
        <f t="shared" si="11"/>
        <v>1</v>
      </c>
      <c r="X32" s="184">
        <v>4</v>
      </c>
      <c r="Y32" s="160">
        <f t="shared" si="12"/>
        <v>1</v>
      </c>
      <c r="Z32" s="184">
        <v>3</v>
      </c>
      <c r="AA32" s="160">
        <f t="shared" si="13"/>
        <v>1</v>
      </c>
      <c r="AB32" s="144"/>
      <c r="AC32" s="160" t="str">
        <f t="shared" si="3"/>
        <v>NA</v>
      </c>
      <c r="AD32" s="137">
        <f t="shared" si="14"/>
        <v>10</v>
      </c>
      <c r="AE32" s="191">
        <v>10</v>
      </c>
      <c r="AF32" s="129">
        <f t="shared" si="15"/>
        <v>1</v>
      </c>
      <c r="AG32" s="128"/>
      <c r="AH32" s="129" t="str">
        <f t="shared" si="16"/>
        <v>NA</v>
      </c>
      <c r="AI32" s="128"/>
      <c r="AJ32" s="129" t="str">
        <f t="shared" si="17"/>
        <v>NA</v>
      </c>
      <c r="AK32" s="127">
        <f t="shared" si="18"/>
        <v>10</v>
      </c>
      <c r="AL32" s="127"/>
      <c r="AM32" s="170" t="str">
        <f t="shared" si="19"/>
        <v>NA</v>
      </c>
      <c r="AN32" s="127"/>
      <c r="AO32" s="170" t="str">
        <f t="shared" si="20"/>
        <v>NA</v>
      </c>
      <c r="AP32" s="127"/>
      <c r="AQ32" s="170" t="str">
        <f t="shared" si="21"/>
        <v>NA</v>
      </c>
      <c r="AR32" s="127">
        <f t="shared" si="22"/>
        <v>0</v>
      </c>
      <c r="AS32" s="191">
        <v>9</v>
      </c>
      <c r="AT32" s="129">
        <f t="shared" si="23"/>
        <v>0.9</v>
      </c>
      <c r="AU32" s="128"/>
      <c r="AV32" s="129" t="str">
        <f t="shared" si="24"/>
        <v>NA</v>
      </c>
      <c r="AW32" s="128"/>
      <c r="AX32" s="129" t="str">
        <f t="shared" si="25"/>
        <v>NA</v>
      </c>
      <c r="AY32" s="127">
        <f t="shared" si="26"/>
        <v>9</v>
      </c>
      <c r="AZ32" s="161">
        <f t="shared" si="27"/>
        <v>19</v>
      </c>
      <c r="BA32" s="162">
        <f t="shared" si="28"/>
        <v>88</v>
      </c>
    </row>
    <row r="33" spans="1:53" ht="20.100000000000001" customHeight="1" outlineLevel="1" thickBot="1" x14ac:dyDescent="0.3">
      <c r="A33" s="144">
        <v>25</v>
      </c>
      <c r="B33" s="148" t="s">
        <v>213</v>
      </c>
      <c r="C33" s="155"/>
      <c r="D33" s="182">
        <v>12</v>
      </c>
      <c r="E33" s="158">
        <f t="shared" si="1"/>
        <v>1</v>
      </c>
      <c r="F33" s="184">
        <v>1</v>
      </c>
      <c r="G33" s="158">
        <f t="shared" si="4"/>
        <v>0.5</v>
      </c>
      <c r="H33" s="184">
        <v>6</v>
      </c>
      <c r="I33" s="158">
        <f t="shared" si="5"/>
        <v>1</v>
      </c>
      <c r="J33" s="144"/>
      <c r="K33" s="158" t="str">
        <f t="shared" si="6"/>
        <v>NA</v>
      </c>
      <c r="L33" s="135">
        <f t="shared" si="0"/>
        <v>19</v>
      </c>
      <c r="M33" s="187">
        <v>11</v>
      </c>
      <c r="N33" s="159">
        <f t="shared" si="7"/>
        <v>0.91666666666666663</v>
      </c>
      <c r="O33" s="187">
        <v>7</v>
      </c>
      <c r="P33" s="159">
        <f t="shared" si="8"/>
        <v>0.30434782608695654</v>
      </c>
      <c r="Q33" s="187">
        <v>12</v>
      </c>
      <c r="R33" s="159">
        <f t="shared" si="9"/>
        <v>0.8</v>
      </c>
      <c r="S33" s="145"/>
      <c r="T33" s="159" t="str">
        <f t="shared" si="10"/>
        <v>NA</v>
      </c>
      <c r="U33" s="136">
        <f t="shared" si="2"/>
        <v>30</v>
      </c>
      <c r="V33" s="184">
        <v>3</v>
      </c>
      <c r="W33" s="160">
        <f t="shared" si="11"/>
        <v>1</v>
      </c>
      <c r="X33" s="184">
        <v>3</v>
      </c>
      <c r="Y33" s="160">
        <f t="shared" si="12"/>
        <v>0.75</v>
      </c>
      <c r="Z33" s="184">
        <v>3</v>
      </c>
      <c r="AA33" s="160">
        <f t="shared" si="13"/>
        <v>1</v>
      </c>
      <c r="AB33" s="144"/>
      <c r="AC33" s="160" t="str">
        <f t="shared" si="3"/>
        <v>NA</v>
      </c>
      <c r="AD33" s="137">
        <f t="shared" si="14"/>
        <v>9</v>
      </c>
      <c r="AE33" s="191">
        <v>10</v>
      </c>
      <c r="AF33" s="129">
        <f t="shared" si="15"/>
        <v>1</v>
      </c>
      <c r="AG33" s="128"/>
      <c r="AH33" s="129" t="str">
        <f t="shared" si="16"/>
        <v>NA</v>
      </c>
      <c r="AI33" s="128"/>
      <c r="AJ33" s="129" t="str">
        <f t="shared" si="17"/>
        <v>NA</v>
      </c>
      <c r="AK33" s="127">
        <f t="shared" si="18"/>
        <v>10</v>
      </c>
      <c r="AL33" s="127"/>
      <c r="AM33" s="170" t="str">
        <f t="shared" si="19"/>
        <v>NA</v>
      </c>
      <c r="AN33" s="127"/>
      <c r="AO33" s="170" t="str">
        <f t="shared" si="20"/>
        <v>NA</v>
      </c>
      <c r="AP33" s="127"/>
      <c r="AQ33" s="170" t="str">
        <f t="shared" si="21"/>
        <v>NA</v>
      </c>
      <c r="AR33" s="127">
        <f t="shared" si="22"/>
        <v>0</v>
      </c>
      <c r="AS33" s="191">
        <v>10</v>
      </c>
      <c r="AT33" s="129">
        <f t="shared" si="23"/>
        <v>1</v>
      </c>
      <c r="AU33" s="128"/>
      <c r="AV33" s="129" t="str">
        <f t="shared" si="24"/>
        <v>NA</v>
      </c>
      <c r="AW33" s="128"/>
      <c r="AX33" s="129" t="str">
        <f t="shared" si="25"/>
        <v>NA</v>
      </c>
      <c r="AY33" s="127">
        <f t="shared" si="26"/>
        <v>10</v>
      </c>
      <c r="AZ33" s="161">
        <f t="shared" si="27"/>
        <v>20</v>
      </c>
      <c r="BA33" s="162">
        <f t="shared" si="28"/>
        <v>78</v>
      </c>
    </row>
    <row r="34" spans="1:53" ht="20.100000000000001" customHeight="1" outlineLevel="1" thickBot="1" x14ac:dyDescent="0.3">
      <c r="A34" s="144">
        <v>26</v>
      </c>
      <c r="B34" s="148" t="s">
        <v>214</v>
      </c>
      <c r="C34" s="155"/>
      <c r="D34" s="182">
        <v>11</v>
      </c>
      <c r="E34" s="158">
        <f t="shared" si="1"/>
        <v>0.91666666666666663</v>
      </c>
      <c r="F34" s="184">
        <v>1</v>
      </c>
      <c r="G34" s="158">
        <f t="shared" si="4"/>
        <v>0.5</v>
      </c>
      <c r="H34" s="184">
        <v>5</v>
      </c>
      <c r="I34" s="158">
        <f t="shared" si="5"/>
        <v>0.83333333333333337</v>
      </c>
      <c r="J34" s="144"/>
      <c r="K34" s="158" t="str">
        <f t="shared" si="6"/>
        <v>NA</v>
      </c>
      <c r="L34" s="135">
        <f t="shared" si="0"/>
        <v>17</v>
      </c>
      <c r="M34" s="187">
        <v>12</v>
      </c>
      <c r="N34" s="159">
        <f t="shared" si="7"/>
        <v>1</v>
      </c>
      <c r="O34" s="187">
        <v>19</v>
      </c>
      <c r="P34" s="159">
        <f t="shared" si="8"/>
        <v>0.82608695652173914</v>
      </c>
      <c r="Q34" s="187">
        <v>12</v>
      </c>
      <c r="R34" s="159">
        <f t="shared" si="9"/>
        <v>0.8</v>
      </c>
      <c r="S34" s="145"/>
      <c r="T34" s="159" t="str">
        <f t="shared" si="10"/>
        <v>NA</v>
      </c>
      <c r="U34" s="136">
        <f t="shared" si="2"/>
        <v>43</v>
      </c>
      <c r="V34" s="184">
        <v>3</v>
      </c>
      <c r="W34" s="160">
        <f t="shared" si="11"/>
        <v>1</v>
      </c>
      <c r="X34" s="184">
        <v>4</v>
      </c>
      <c r="Y34" s="160">
        <f t="shared" si="12"/>
        <v>1</v>
      </c>
      <c r="Z34" s="184">
        <v>3</v>
      </c>
      <c r="AA34" s="160">
        <f t="shared" si="13"/>
        <v>1</v>
      </c>
      <c r="AB34" s="144"/>
      <c r="AC34" s="160" t="str">
        <f t="shared" si="3"/>
        <v>NA</v>
      </c>
      <c r="AD34" s="137">
        <f t="shared" si="14"/>
        <v>10</v>
      </c>
      <c r="AE34" s="191">
        <v>10</v>
      </c>
      <c r="AF34" s="129">
        <f t="shared" si="15"/>
        <v>1</v>
      </c>
      <c r="AG34" s="128"/>
      <c r="AH34" s="129" t="str">
        <f t="shared" si="16"/>
        <v>NA</v>
      </c>
      <c r="AI34" s="128"/>
      <c r="AJ34" s="129" t="str">
        <f t="shared" si="17"/>
        <v>NA</v>
      </c>
      <c r="AK34" s="127">
        <f t="shared" si="18"/>
        <v>10</v>
      </c>
      <c r="AL34" s="127"/>
      <c r="AM34" s="170" t="str">
        <f t="shared" si="19"/>
        <v>NA</v>
      </c>
      <c r="AN34" s="127"/>
      <c r="AO34" s="170" t="str">
        <f t="shared" si="20"/>
        <v>NA</v>
      </c>
      <c r="AP34" s="127"/>
      <c r="AQ34" s="170" t="str">
        <f t="shared" si="21"/>
        <v>NA</v>
      </c>
      <c r="AR34" s="127">
        <f t="shared" si="22"/>
        <v>0</v>
      </c>
      <c r="AS34" s="191">
        <v>9</v>
      </c>
      <c r="AT34" s="129">
        <f t="shared" si="23"/>
        <v>0.9</v>
      </c>
      <c r="AU34" s="128"/>
      <c r="AV34" s="129" t="str">
        <f t="shared" si="24"/>
        <v>NA</v>
      </c>
      <c r="AW34" s="128"/>
      <c r="AX34" s="129" t="str">
        <f t="shared" si="25"/>
        <v>NA</v>
      </c>
      <c r="AY34" s="127">
        <f t="shared" si="26"/>
        <v>9</v>
      </c>
      <c r="AZ34" s="161">
        <f t="shared" si="27"/>
        <v>19</v>
      </c>
      <c r="BA34" s="162">
        <f t="shared" si="28"/>
        <v>89</v>
      </c>
    </row>
    <row r="35" spans="1:53" ht="20.100000000000001" customHeight="1" outlineLevel="1" thickBot="1" x14ac:dyDescent="0.3">
      <c r="A35" s="144">
        <v>27</v>
      </c>
      <c r="B35" s="147" t="s">
        <v>215</v>
      </c>
      <c r="C35" s="152"/>
      <c r="D35" s="182">
        <v>10</v>
      </c>
      <c r="E35" s="158">
        <f t="shared" si="1"/>
        <v>0.83333333333333337</v>
      </c>
      <c r="F35" s="184">
        <v>2</v>
      </c>
      <c r="G35" s="158">
        <f t="shared" si="4"/>
        <v>1</v>
      </c>
      <c r="H35" s="184">
        <v>3</v>
      </c>
      <c r="I35" s="158">
        <f t="shared" si="5"/>
        <v>0.5</v>
      </c>
      <c r="J35" s="144"/>
      <c r="K35" s="158" t="str">
        <f t="shared" si="6"/>
        <v>NA</v>
      </c>
      <c r="L35" s="135">
        <f t="shared" si="0"/>
        <v>15</v>
      </c>
      <c r="M35" s="187">
        <v>6</v>
      </c>
      <c r="N35" s="159">
        <f t="shared" si="7"/>
        <v>0.5</v>
      </c>
      <c r="O35" s="187">
        <v>4</v>
      </c>
      <c r="P35" s="159">
        <f t="shared" si="8"/>
        <v>0.17391304347826086</v>
      </c>
      <c r="Q35" s="187">
        <v>8</v>
      </c>
      <c r="R35" s="159">
        <f t="shared" si="9"/>
        <v>0.53333333333333333</v>
      </c>
      <c r="S35" s="145"/>
      <c r="T35" s="159" t="str">
        <f t="shared" si="10"/>
        <v>NA</v>
      </c>
      <c r="U35" s="136">
        <f t="shared" si="2"/>
        <v>18</v>
      </c>
      <c r="V35" s="184">
        <v>2</v>
      </c>
      <c r="W35" s="160">
        <f t="shared" si="11"/>
        <v>0.66666666666666663</v>
      </c>
      <c r="X35" s="184">
        <v>2</v>
      </c>
      <c r="Y35" s="160">
        <f t="shared" si="12"/>
        <v>0.5</v>
      </c>
      <c r="Z35" s="184">
        <v>2</v>
      </c>
      <c r="AA35" s="160">
        <f t="shared" si="13"/>
        <v>0.66666666666666663</v>
      </c>
      <c r="AB35" s="144"/>
      <c r="AC35" s="160" t="str">
        <f t="shared" si="3"/>
        <v>NA</v>
      </c>
      <c r="AD35" s="137">
        <f t="shared" si="14"/>
        <v>6</v>
      </c>
      <c r="AE35" s="191">
        <v>10</v>
      </c>
      <c r="AF35" s="129">
        <f t="shared" si="15"/>
        <v>1</v>
      </c>
      <c r="AG35" s="128"/>
      <c r="AH35" s="129" t="str">
        <f t="shared" si="16"/>
        <v>NA</v>
      </c>
      <c r="AI35" s="128"/>
      <c r="AJ35" s="129" t="str">
        <f t="shared" si="17"/>
        <v>NA</v>
      </c>
      <c r="AK35" s="127">
        <f t="shared" si="18"/>
        <v>10</v>
      </c>
      <c r="AL35" s="127"/>
      <c r="AM35" s="170" t="str">
        <f t="shared" si="19"/>
        <v>NA</v>
      </c>
      <c r="AN35" s="127"/>
      <c r="AO35" s="170" t="str">
        <f t="shared" si="20"/>
        <v>NA</v>
      </c>
      <c r="AP35" s="127"/>
      <c r="AQ35" s="170" t="str">
        <f t="shared" si="21"/>
        <v>NA</v>
      </c>
      <c r="AR35" s="127">
        <f t="shared" si="22"/>
        <v>0</v>
      </c>
      <c r="AS35" s="191">
        <v>8</v>
      </c>
      <c r="AT35" s="129">
        <f t="shared" si="23"/>
        <v>0.8</v>
      </c>
      <c r="AU35" s="128"/>
      <c r="AV35" s="129" t="str">
        <f t="shared" si="24"/>
        <v>NA</v>
      </c>
      <c r="AW35" s="128"/>
      <c r="AX35" s="129" t="str">
        <f t="shared" si="25"/>
        <v>NA</v>
      </c>
      <c r="AY35" s="127">
        <f t="shared" si="26"/>
        <v>8</v>
      </c>
      <c r="AZ35" s="161">
        <f t="shared" si="27"/>
        <v>18</v>
      </c>
      <c r="BA35" s="162">
        <f t="shared" si="28"/>
        <v>57</v>
      </c>
    </row>
    <row r="36" spans="1:53" ht="20.100000000000001" customHeight="1" outlineLevel="1" thickBot="1" x14ac:dyDescent="0.3">
      <c r="A36" s="144">
        <v>28</v>
      </c>
      <c r="B36" s="147" t="s">
        <v>216</v>
      </c>
      <c r="C36" s="152"/>
      <c r="D36" s="182">
        <v>8</v>
      </c>
      <c r="E36" s="158">
        <f t="shared" si="1"/>
        <v>0.66666666666666663</v>
      </c>
      <c r="F36" s="184">
        <v>2</v>
      </c>
      <c r="G36" s="158">
        <f t="shared" si="4"/>
        <v>1</v>
      </c>
      <c r="H36" s="184">
        <v>4</v>
      </c>
      <c r="I36" s="158">
        <f t="shared" si="5"/>
        <v>0.66666666666666663</v>
      </c>
      <c r="J36" s="144"/>
      <c r="K36" s="158" t="str">
        <f t="shared" si="6"/>
        <v>NA</v>
      </c>
      <c r="L36" s="135">
        <f t="shared" si="0"/>
        <v>14</v>
      </c>
      <c r="M36" s="187">
        <v>8</v>
      </c>
      <c r="N36" s="159">
        <f t="shared" si="7"/>
        <v>0.66666666666666663</v>
      </c>
      <c r="O36" s="187">
        <v>12</v>
      </c>
      <c r="P36" s="159">
        <f t="shared" si="8"/>
        <v>0.52173913043478259</v>
      </c>
      <c r="Q36" s="187">
        <v>8</v>
      </c>
      <c r="R36" s="159">
        <f t="shared" si="9"/>
        <v>0.53333333333333333</v>
      </c>
      <c r="S36" s="145"/>
      <c r="T36" s="159" t="str">
        <f t="shared" si="10"/>
        <v>NA</v>
      </c>
      <c r="U36" s="136">
        <f t="shared" si="2"/>
        <v>28</v>
      </c>
      <c r="V36" s="184">
        <v>2</v>
      </c>
      <c r="W36" s="160">
        <f t="shared" si="11"/>
        <v>0.66666666666666663</v>
      </c>
      <c r="X36" s="184">
        <v>3</v>
      </c>
      <c r="Y36" s="160">
        <f t="shared" si="12"/>
        <v>0.75</v>
      </c>
      <c r="Z36" s="184">
        <v>2</v>
      </c>
      <c r="AA36" s="160">
        <f t="shared" si="13"/>
        <v>0.66666666666666663</v>
      </c>
      <c r="AB36" s="144"/>
      <c r="AC36" s="160" t="str">
        <f t="shared" si="3"/>
        <v>NA</v>
      </c>
      <c r="AD36" s="137">
        <f t="shared" si="14"/>
        <v>7</v>
      </c>
      <c r="AE36" s="191">
        <v>10</v>
      </c>
      <c r="AF36" s="129">
        <f t="shared" si="15"/>
        <v>1</v>
      </c>
      <c r="AG36" s="128"/>
      <c r="AH36" s="129" t="str">
        <f t="shared" si="16"/>
        <v>NA</v>
      </c>
      <c r="AI36" s="128"/>
      <c r="AJ36" s="129" t="str">
        <f t="shared" si="17"/>
        <v>NA</v>
      </c>
      <c r="AK36" s="127">
        <f t="shared" si="18"/>
        <v>10</v>
      </c>
      <c r="AL36" s="127"/>
      <c r="AM36" s="170" t="str">
        <f t="shared" si="19"/>
        <v>NA</v>
      </c>
      <c r="AN36" s="127"/>
      <c r="AO36" s="170" t="str">
        <f t="shared" si="20"/>
        <v>NA</v>
      </c>
      <c r="AP36" s="127"/>
      <c r="AQ36" s="170" t="str">
        <f t="shared" si="21"/>
        <v>NA</v>
      </c>
      <c r="AR36" s="127">
        <f t="shared" si="22"/>
        <v>0</v>
      </c>
      <c r="AS36" s="191">
        <v>8</v>
      </c>
      <c r="AT36" s="129">
        <f t="shared" si="23"/>
        <v>0.8</v>
      </c>
      <c r="AU36" s="128"/>
      <c r="AV36" s="129" t="str">
        <f t="shared" si="24"/>
        <v>NA</v>
      </c>
      <c r="AW36" s="128"/>
      <c r="AX36" s="129" t="str">
        <f t="shared" si="25"/>
        <v>NA</v>
      </c>
      <c r="AY36" s="127">
        <f t="shared" si="26"/>
        <v>8</v>
      </c>
      <c r="AZ36" s="161">
        <f t="shared" si="27"/>
        <v>18</v>
      </c>
      <c r="BA36" s="162">
        <f t="shared" si="28"/>
        <v>67</v>
      </c>
    </row>
    <row r="37" spans="1:53" ht="20.100000000000001" customHeight="1" outlineLevel="1" thickBot="1" x14ac:dyDescent="0.3">
      <c r="A37" s="144">
        <v>29</v>
      </c>
      <c r="B37" s="147" t="s">
        <v>217</v>
      </c>
      <c r="C37" s="152"/>
      <c r="D37" s="182">
        <v>11</v>
      </c>
      <c r="E37" s="158">
        <f t="shared" si="1"/>
        <v>0.91666666666666663</v>
      </c>
      <c r="F37" s="184">
        <v>1</v>
      </c>
      <c r="G37" s="158">
        <f t="shared" si="4"/>
        <v>0.5</v>
      </c>
      <c r="H37" s="184">
        <v>5</v>
      </c>
      <c r="I37" s="158">
        <f t="shared" si="5"/>
        <v>0.83333333333333337</v>
      </c>
      <c r="J37" s="144"/>
      <c r="K37" s="158" t="str">
        <f t="shared" si="6"/>
        <v>NA</v>
      </c>
      <c r="L37" s="135">
        <f t="shared" si="0"/>
        <v>17</v>
      </c>
      <c r="M37" s="187">
        <v>11</v>
      </c>
      <c r="N37" s="159">
        <f t="shared" si="7"/>
        <v>0.91666666666666663</v>
      </c>
      <c r="O37" s="187">
        <v>20</v>
      </c>
      <c r="P37" s="159">
        <f t="shared" si="8"/>
        <v>0.86956521739130432</v>
      </c>
      <c r="Q37" s="187">
        <v>13</v>
      </c>
      <c r="R37" s="159">
        <f t="shared" si="9"/>
        <v>0.8666666666666667</v>
      </c>
      <c r="S37" s="145"/>
      <c r="T37" s="159" t="str">
        <f t="shared" si="10"/>
        <v>NA</v>
      </c>
      <c r="U37" s="136">
        <f t="shared" si="2"/>
        <v>44</v>
      </c>
      <c r="V37" s="184">
        <v>3</v>
      </c>
      <c r="W37" s="160">
        <f t="shared" si="11"/>
        <v>1</v>
      </c>
      <c r="X37" s="184">
        <v>4</v>
      </c>
      <c r="Y37" s="160">
        <f t="shared" si="12"/>
        <v>1</v>
      </c>
      <c r="Z37" s="184">
        <v>3</v>
      </c>
      <c r="AA37" s="160">
        <f t="shared" si="13"/>
        <v>1</v>
      </c>
      <c r="AB37" s="144"/>
      <c r="AC37" s="160" t="str">
        <f t="shared" si="3"/>
        <v>NA</v>
      </c>
      <c r="AD37" s="137">
        <f t="shared" si="14"/>
        <v>10</v>
      </c>
      <c r="AE37" s="191">
        <v>10</v>
      </c>
      <c r="AF37" s="129">
        <f t="shared" si="15"/>
        <v>1</v>
      </c>
      <c r="AG37" s="128"/>
      <c r="AH37" s="129" t="str">
        <f t="shared" si="16"/>
        <v>NA</v>
      </c>
      <c r="AI37" s="128"/>
      <c r="AJ37" s="129" t="str">
        <f t="shared" si="17"/>
        <v>NA</v>
      </c>
      <c r="AK37" s="127">
        <f t="shared" si="18"/>
        <v>10</v>
      </c>
      <c r="AL37" s="127"/>
      <c r="AM37" s="170" t="str">
        <f t="shared" si="19"/>
        <v>NA</v>
      </c>
      <c r="AN37" s="127"/>
      <c r="AO37" s="170" t="str">
        <f t="shared" si="20"/>
        <v>NA</v>
      </c>
      <c r="AP37" s="127"/>
      <c r="AQ37" s="170" t="str">
        <f t="shared" si="21"/>
        <v>NA</v>
      </c>
      <c r="AR37" s="127">
        <f t="shared" si="22"/>
        <v>0</v>
      </c>
      <c r="AS37" s="191">
        <v>9</v>
      </c>
      <c r="AT37" s="129">
        <f t="shared" si="23"/>
        <v>0.9</v>
      </c>
      <c r="AU37" s="128"/>
      <c r="AV37" s="129" t="str">
        <f t="shared" si="24"/>
        <v>NA</v>
      </c>
      <c r="AW37" s="128"/>
      <c r="AX37" s="129" t="str">
        <f t="shared" si="25"/>
        <v>NA</v>
      </c>
      <c r="AY37" s="127">
        <f t="shared" si="26"/>
        <v>9</v>
      </c>
      <c r="AZ37" s="161">
        <f t="shared" si="27"/>
        <v>19</v>
      </c>
      <c r="BA37" s="162">
        <f t="shared" si="28"/>
        <v>90</v>
      </c>
    </row>
    <row r="38" spans="1:53" ht="20.100000000000001" customHeight="1" outlineLevel="1" thickBot="1" x14ac:dyDescent="0.3">
      <c r="A38" s="144">
        <v>30</v>
      </c>
      <c r="B38" s="147" t="s">
        <v>218</v>
      </c>
      <c r="C38" s="151"/>
      <c r="D38" s="182">
        <v>10</v>
      </c>
      <c r="E38" s="158">
        <f t="shared" si="1"/>
        <v>0.83333333333333337</v>
      </c>
      <c r="F38" s="184">
        <v>1</v>
      </c>
      <c r="G38" s="158">
        <f t="shared" si="4"/>
        <v>0.5</v>
      </c>
      <c r="H38" s="184">
        <v>6</v>
      </c>
      <c r="I38" s="158">
        <f t="shared" si="5"/>
        <v>1</v>
      </c>
      <c r="J38" s="144"/>
      <c r="K38" s="158" t="str">
        <f t="shared" si="6"/>
        <v>NA</v>
      </c>
      <c r="L38" s="135">
        <f t="shared" si="0"/>
        <v>17</v>
      </c>
      <c r="M38" s="187">
        <v>11</v>
      </c>
      <c r="N38" s="159">
        <f t="shared" si="7"/>
        <v>0.91666666666666663</v>
      </c>
      <c r="O38" s="187">
        <v>21</v>
      </c>
      <c r="P38" s="159">
        <f t="shared" si="8"/>
        <v>0.91304347826086951</v>
      </c>
      <c r="Q38" s="187">
        <v>12</v>
      </c>
      <c r="R38" s="159">
        <f t="shared" si="9"/>
        <v>0.8</v>
      </c>
      <c r="S38" s="145"/>
      <c r="T38" s="159" t="str">
        <f t="shared" si="10"/>
        <v>NA</v>
      </c>
      <c r="U38" s="136">
        <f t="shared" si="2"/>
        <v>44</v>
      </c>
      <c r="V38" s="184">
        <v>3</v>
      </c>
      <c r="W38" s="160">
        <f t="shared" si="11"/>
        <v>1</v>
      </c>
      <c r="X38" s="184">
        <v>4</v>
      </c>
      <c r="Y38" s="160">
        <f t="shared" si="12"/>
        <v>1</v>
      </c>
      <c r="Z38" s="184">
        <v>3</v>
      </c>
      <c r="AA38" s="160">
        <f t="shared" si="13"/>
        <v>1</v>
      </c>
      <c r="AB38" s="144"/>
      <c r="AC38" s="160" t="str">
        <f t="shared" si="3"/>
        <v>NA</v>
      </c>
      <c r="AD38" s="137">
        <f t="shared" si="14"/>
        <v>10</v>
      </c>
      <c r="AE38" s="191">
        <v>10</v>
      </c>
      <c r="AF38" s="129">
        <f t="shared" si="15"/>
        <v>1</v>
      </c>
      <c r="AG38" s="128"/>
      <c r="AH38" s="129" t="str">
        <f t="shared" si="16"/>
        <v>NA</v>
      </c>
      <c r="AI38" s="128"/>
      <c r="AJ38" s="129" t="str">
        <f t="shared" si="17"/>
        <v>NA</v>
      </c>
      <c r="AK38" s="127">
        <f t="shared" si="18"/>
        <v>10</v>
      </c>
      <c r="AL38" s="127"/>
      <c r="AM38" s="170" t="str">
        <f t="shared" si="19"/>
        <v>NA</v>
      </c>
      <c r="AN38" s="127"/>
      <c r="AO38" s="170" t="str">
        <f t="shared" si="20"/>
        <v>NA</v>
      </c>
      <c r="AP38" s="127"/>
      <c r="AQ38" s="170" t="str">
        <f t="shared" si="21"/>
        <v>NA</v>
      </c>
      <c r="AR38" s="127">
        <f t="shared" si="22"/>
        <v>0</v>
      </c>
      <c r="AS38" s="191">
        <v>9</v>
      </c>
      <c r="AT38" s="129">
        <f t="shared" si="23"/>
        <v>0.9</v>
      </c>
      <c r="AU38" s="128"/>
      <c r="AV38" s="129" t="str">
        <f t="shared" si="24"/>
        <v>NA</v>
      </c>
      <c r="AW38" s="128"/>
      <c r="AX38" s="129" t="str">
        <f t="shared" si="25"/>
        <v>NA</v>
      </c>
      <c r="AY38" s="127">
        <f t="shared" si="26"/>
        <v>9</v>
      </c>
      <c r="AZ38" s="161">
        <f t="shared" si="27"/>
        <v>19</v>
      </c>
      <c r="BA38" s="162">
        <f t="shared" si="28"/>
        <v>90</v>
      </c>
    </row>
    <row r="39" spans="1:53" ht="20.100000000000001" customHeight="1" outlineLevel="1" thickBot="1" x14ac:dyDescent="0.3">
      <c r="A39" s="144">
        <v>31</v>
      </c>
      <c r="B39" s="148" t="s">
        <v>219</v>
      </c>
      <c r="C39" s="155"/>
      <c r="D39" s="182">
        <v>6</v>
      </c>
      <c r="E39" s="158">
        <f t="shared" si="1"/>
        <v>0.5</v>
      </c>
      <c r="F39" s="184">
        <v>1</v>
      </c>
      <c r="G39" s="158">
        <f t="shared" si="4"/>
        <v>0.5</v>
      </c>
      <c r="H39" s="184">
        <v>3</v>
      </c>
      <c r="I39" s="158">
        <f t="shared" si="5"/>
        <v>0.5</v>
      </c>
      <c r="J39" s="144"/>
      <c r="K39" s="158" t="str">
        <f t="shared" si="6"/>
        <v>NA</v>
      </c>
      <c r="L39" s="135">
        <v>10</v>
      </c>
      <c r="M39" s="187">
        <v>10</v>
      </c>
      <c r="N39" s="159">
        <f t="shared" si="7"/>
        <v>0.83333333333333337</v>
      </c>
      <c r="O39" s="187">
        <v>15</v>
      </c>
      <c r="P39" s="159">
        <f t="shared" si="8"/>
        <v>0.65217391304347827</v>
      </c>
      <c r="Q39" s="187">
        <v>10</v>
      </c>
      <c r="R39" s="159">
        <f t="shared" si="9"/>
        <v>0.66666666666666663</v>
      </c>
      <c r="S39" s="145"/>
      <c r="T39" s="159" t="str">
        <f t="shared" si="10"/>
        <v>NA</v>
      </c>
      <c r="U39" s="136">
        <f t="shared" si="2"/>
        <v>35</v>
      </c>
      <c r="V39" s="184">
        <v>3</v>
      </c>
      <c r="W39" s="160">
        <f t="shared" si="11"/>
        <v>1</v>
      </c>
      <c r="X39" s="184">
        <v>3</v>
      </c>
      <c r="Y39" s="160">
        <f t="shared" si="12"/>
        <v>0.75</v>
      </c>
      <c r="Z39" s="184">
        <v>3</v>
      </c>
      <c r="AA39" s="160">
        <f t="shared" si="13"/>
        <v>1</v>
      </c>
      <c r="AB39" s="144"/>
      <c r="AC39" s="160" t="str">
        <f t="shared" si="3"/>
        <v>NA</v>
      </c>
      <c r="AD39" s="137">
        <f t="shared" si="14"/>
        <v>9</v>
      </c>
      <c r="AE39" s="191">
        <v>10</v>
      </c>
      <c r="AF39" s="129">
        <f t="shared" si="15"/>
        <v>1</v>
      </c>
      <c r="AG39" s="128"/>
      <c r="AH39" s="129" t="str">
        <f t="shared" si="16"/>
        <v>NA</v>
      </c>
      <c r="AI39" s="128"/>
      <c r="AJ39" s="129" t="str">
        <f t="shared" si="17"/>
        <v>NA</v>
      </c>
      <c r="AK39" s="127">
        <f t="shared" si="18"/>
        <v>10</v>
      </c>
      <c r="AL39" s="127"/>
      <c r="AM39" s="170" t="str">
        <f t="shared" si="19"/>
        <v>NA</v>
      </c>
      <c r="AN39" s="127"/>
      <c r="AO39" s="170" t="str">
        <f t="shared" si="20"/>
        <v>NA</v>
      </c>
      <c r="AP39" s="127"/>
      <c r="AQ39" s="170" t="str">
        <f t="shared" si="21"/>
        <v>NA</v>
      </c>
      <c r="AR39" s="127">
        <f t="shared" si="22"/>
        <v>0</v>
      </c>
      <c r="AS39" s="191">
        <v>9</v>
      </c>
      <c r="AT39" s="129">
        <f t="shared" si="23"/>
        <v>0.9</v>
      </c>
      <c r="AU39" s="128"/>
      <c r="AV39" s="129" t="str">
        <f t="shared" si="24"/>
        <v>NA</v>
      </c>
      <c r="AW39" s="128"/>
      <c r="AX39" s="129" t="str">
        <f t="shared" si="25"/>
        <v>NA</v>
      </c>
      <c r="AY39" s="127">
        <f t="shared" si="26"/>
        <v>9</v>
      </c>
      <c r="AZ39" s="161">
        <f t="shared" si="27"/>
        <v>19</v>
      </c>
      <c r="BA39" s="162">
        <f t="shared" si="28"/>
        <v>73</v>
      </c>
    </row>
    <row r="40" spans="1:53" ht="20.100000000000001" customHeight="1" outlineLevel="1" thickBot="1" x14ac:dyDescent="0.3">
      <c r="A40" s="144">
        <v>32</v>
      </c>
      <c r="B40" s="148" t="s">
        <v>220</v>
      </c>
      <c r="C40" s="155"/>
      <c r="D40" s="182">
        <v>10</v>
      </c>
      <c r="E40" s="158">
        <f t="shared" si="1"/>
        <v>0.83333333333333337</v>
      </c>
      <c r="F40" s="184">
        <v>2</v>
      </c>
      <c r="G40" s="158">
        <f t="shared" si="4"/>
        <v>1</v>
      </c>
      <c r="H40" s="184">
        <v>4</v>
      </c>
      <c r="I40" s="158">
        <f t="shared" si="5"/>
        <v>0.66666666666666663</v>
      </c>
      <c r="J40" s="144"/>
      <c r="K40" s="158" t="str">
        <f t="shared" si="6"/>
        <v>NA</v>
      </c>
      <c r="L40" s="135">
        <f t="shared" ref="L40:L50" si="29">SUM(D40,F40,H40,J40)</f>
        <v>16</v>
      </c>
      <c r="M40" s="187">
        <v>8</v>
      </c>
      <c r="N40" s="159">
        <f t="shared" si="7"/>
        <v>0.66666666666666663</v>
      </c>
      <c r="O40" s="187">
        <v>3</v>
      </c>
      <c r="P40" s="159">
        <f t="shared" si="8"/>
        <v>0.13043478260869565</v>
      </c>
      <c r="Q40" s="187">
        <v>12</v>
      </c>
      <c r="R40" s="159">
        <f t="shared" si="9"/>
        <v>0.8</v>
      </c>
      <c r="S40" s="145"/>
      <c r="T40" s="159" t="str">
        <f t="shared" si="10"/>
        <v>NA</v>
      </c>
      <c r="U40" s="136">
        <f t="shared" si="2"/>
        <v>23</v>
      </c>
      <c r="V40" s="184">
        <v>2</v>
      </c>
      <c r="W40" s="160">
        <f t="shared" si="11"/>
        <v>0.66666666666666663</v>
      </c>
      <c r="X40" s="184">
        <v>3</v>
      </c>
      <c r="Y40" s="160">
        <f t="shared" si="12"/>
        <v>0.75</v>
      </c>
      <c r="Z40" s="184">
        <v>2</v>
      </c>
      <c r="AA40" s="160">
        <f t="shared" si="13"/>
        <v>0.66666666666666663</v>
      </c>
      <c r="AB40" s="144"/>
      <c r="AC40" s="160" t="str">
        <f t="shared" si="3"/>
        <v>NA</v>
      </c>
      <c r="AD40" s="137">
        <f t="shared" si="14"/>
        <v>7</v>
      </c>
      <c r="AE40" s="191">
        <v>10</v>
      </c>
      <c r="AF40" s="129">
        <f t="shared" si="15"/>
        <v>1</v>
      </c>
      <c r="AG40" s="128"/>
      <c r="AH40" s="129" t="str">
        <f t="shared" si="16"/>
        <v>NA</v>
      </c>
      <c r="AI40" s="128"/>
      <c r="AJ40" s="129" t="str">
        <f t="shared" si="17"/>
        <v>NA</v>
      </c>
      <c r="AK40" s="127">
        <f t="shared" si="18"/>
        <v>10</v>
      </c>
      <c r="AL40" s="127"/>
      <c r="AM40" s="170" t="str">
        <f t="shared" si="19"/>
        <v>NA</v>
      </c>
      <c r="AN40" s="127"/>
      <c r="AO40" s="170" t="str">
        <f t="shared" si="20"/>
        <v>NA</v>
      </c>
      <c r="AP40" s="127"/>
      <c r="AQ40" s="170" t="str">
        <f t="shared" si="21"/>
        <v>NA</v>
      </c>
      <c r="AR40" s="127">
        <f t="shared" si="22"/>
        <v>0</v>
      </c>
      <c r="AS40" s="191">
        <v>9</v>
      </c>
      <c r="AT40" s="129">
        <f t="shared" si="23"/>
        <v>0.9</v>
      </c>
      <c r="AU40" s="128"/>
      <c r="AV40" s="129" t="str">
        <f t="shared" si="24"/>
        <v>NA</v>
      </c>
      <c r="AW40" s="128"/>
      <c r="AX40" s="129" t="str">
        <f t="shared" si="25"/>
        <v>NA</v>
      </c>
      <c r="AY40" s="127">
        <f t="shared" si="26"/>
        <v>9</v>
      </c>
      <c r="AZ40" s="161">
        <f t="shared" si="27"/>
        <v>19</v>
      </c>
      <c r="BA40" s="162">
        <f t="shared" si="28"/>
        <v>65</v>
      </c>
    </row>
    <row r="41" spans="1:53" ht="20.100000000000001" customHeight="1" outlineLevel="1" thickBot="1" x14ac:dyDescent="0.3">
      <c r="A41" s="144">
        <v>33</v>
      </c>
      <c r="B41" s="150" t="s">
        <v>221</v>
      </c>
      <c r="C41" s="153"/>
      <c r="D41" s="182">
        <v>6</v>
      </c>
      <c r="E41" s="158">
        <f t="shared" si="1"/>
        <v>0.5</v>
      </c>
      <c r="F41" s="184">
        <v>1</v>
      </c>
      <c r="G41" s="158">
        <f t="shared" si="4"/>
        <v>0.5</v>
      </c>
      <c r="H41" s="184">
        <v>5</v>
      </c>
      <c r="I41" s="158">
        <f t="shared" si="5"/>
        <v>0.83333333333333337</v>
      </c>
      <c r="J41" s="144"/>
      <c r="K41" s="158" t="str">
        <f t="shared" si="6"/>
        <v>NA</v>
      </c>
      <c r="L41" s="135">
        <f t="shared" si="29"/>
        <v>12</v>
      </c>
      <c r="M41" s="187">
        <v>9</v>
      </c>
      <c r="N41" s="159">
        <f t="shared" si="7"/>
        <v>0.75</v>
      </c>
      <c r="O41" s="187">
        <v>13</v>
      </c>
      <c r="P41" s="159">
        <f t="shared" si="8"/>
        <v>0.56521739130434778</v>
      </c>
      <c r="Q41" s="187">
        <v>9</v>
      </c>
      <c r="R41" s="159">
        <f t="shared" si="9"/>
        <v>0.6</v>
      </c>
      <c r="S41" s="145"/>
      <c r="T41" s="159" t="str">
        <f t="shared" si="10"/>
        <v>NA</v>
      </c>
      <c r="U41" s="136">
        <f t="shared" si="2"/>
        <v>31</v>
      </c>
      <c r="V41" s="184">
        <v>3</v>
      </c>
      <c r="W41" s="160">
        <f t="shared" si="11"/>
        <v>1</v>
      </c>
      <c r="X41" s="184">
        <v>3</v>
      </c>
      <c r="Y41" s="160">
        <f t="shared" si="12"/>
        <v>0.75</v>
      </c>
      <c r="Z41" s="184">
        <v>3</v>
      </c>
      <c r="AA41" s="160">
        <f t="shared" si="13"/>
        <v>1</v>
      </c>
      <c r="AB41" s="144"/>
      <c r="AC41" s="160" t="str">
        <f t="shared" si="3"/>
        <v>NA</v>
      </c>
      <c r="AD41" s="137">
        <f t="shared" si="14"/>
        <v>9</v>
      </c>
      <c r="AE41" s="191">
        <v>10</v>
      </c>
      <c r="AF41" s="129">
        <f t="shared" si="15"/>
        <v>1</v>
      </c>
      <c r="AG41" s="128"/>
      <c r="AH41" s="129" t="str">
        <f t="shared" si="16"/>
        <v>NA</v>
      </c>
      <c r="AI41" s="128"/>
      <c r="AJ41" s="129" t="str">
        <f t="shared" si="17"/>
        <v>NA</v>
      </c>
      <c r="AK41" s="127">
        <f t="shared" si="18"/>
        <v>10</v>
      </c>
      <c r="AL41" s="127"/>
      <c r="AM41" s="170" t="str">
        <f t="shared" si="19"/>
        <v>NA</v>
      </c>
      <c r="AN41" s="127"/>
      <c r="AO41" s="170" t="str">
        <f t="shared" si="20"/>
        <v>NA</v>
      </c>
      <c r="AP41" s="127"/>
      <c r="AQ41" s="170" t="str">
        <f t="shared" si="21"/>
        <v>NA</v>
      </c>
      <c r="AR41" s="127">
        <f t="shared" si="22"/>
        <v>0</v>
      </c>
      <c r="AS41" s="191">
        <v>10</v>
      </c>
      <c r="AT41" s="129">
        <f t="shared" si="23"/>
        <v>1</v>
      </c>
      <c r="AU41" s="128"/>
      <c r="AV41" s="129" t="str">
        <f t="shared" si="24"/>
        <v>NA</v>
      </c>
      <c r="AW41" s="128"/>
      <c r="AX41" s="129" t="str">
        <f t="shared" si="25"/>
        <v>NA</v>
      </c>
      <c r="AY41" s="127">
        <f t="shared" si="26"/>
        <v>10</v>
      </c>
      <c r="AZ41" s="161">
        <f t="shared" si="27"/>
        <v>20</v>
      </c>
      <c r="BA41" s="162">
        <f t="shared" si="28"/>
        <v>72</v>
      </c>
    </row>
    <row r="42" spans="1:53" ht="20.100000000000001" customHeight="1" outlineLevel="1" x14ac:dyDescent="0.25">
      <c r="A42" s="144">
        <v>34</v>
      </c>
      <c r="B42" s="179" t="s">
        <v>222</v>
      </c>
      <c r="C42" s="134"/>
      <c r="D42" s="182">
        <v>10</v>
      </c>
      <c r="E42" s="158">
        <f t="shared" si="1"/>
        <v>0.83333333333333337</v>
      </c>
      <c r="F42" s="184">
        <v>2</v>
      </c>
      <c r="G42" s="158">
        <f t="shared" si="4"/>
        <v>1</v>
      </c>
      <c r="H42" s="184">
        <v>5</v>
      </c>
      <c r="I42" s="158">
        <f t="shared" si="5"/>
        <v>0.83333333333333337</v>
      </c>
      <c r="J42" s="144"/>
      <c r="K42" s="158" t="str">
        <f t="shared" si="6"/>
        <v>NA</v>
      </c>
      <c r="L42" s="135">
        <f t="shared" si="29"/>
        <v>17</v>
      </c>
      <c r="M42" s="187">
        <v>9</v>
      </c>
      <c r="N42" s="159">
        <f t="shared" si="7"/>
        <v>0.75</v>
      </c>
      <c r="O42" s="187">
        <v>16</v>
      </c>
      <c r="P42" s="159">
        <f t="shared" si="8"/>
        <v>0.69565217391304346</v>
      </c>
      <c r="Q42" s="187">
        <v>11</v>
      </c>
      <c r="R42" s="159">
        <f t="shared" si="9"/>
        <v>0.73333333333333328</v>
      </c>
      <c r="S42" s="145"/>
      <c r="T42" s="159" t="str">
        <f t="shared" si="10"/>
        <v>NA</v>
      </c>
      <c r="U42" s="136">
        <f t="shared" si="2"/>
        <v>36</v>
      </c>
      <c r="V42" s="184">
        <v>3</v>
      </c>
      <c r="W42" s="160">
        <f t="shared" si="11"/>
        <v>1</v>
      </c>
      <c r="X42" s="184">
        <v>3</v>
      </c>
      <c r="Y42" s="160">
        <f t="shared" si="12"/>
        <v>0.75</v>
      </c>
      <c r="Z42" s="184">
        <v>3</v>
      </c>
      <c r="AA42" s="160">
        <f t="shared" si="13"/>
        <v>1</v>
      </c>
      <c r="AB42" s="144"/>
      <c r="AC42" s="160" t="str">
        <f t="shared" si="3"/>
        <v>NA</v>
      </c>
      <c r="AD42" s="137">
        <f t="shared" si="14"/>
        <v>9</v>
      </c>
      <c r="AE42" s="191">
        <v>10</v>
      </c>
      <c r="AF42" s="129">
        <f t="shared" si="15"/>
        <v>1</v>
      </c>
      <c r="AG42" s="128"/>
      <c r="AH42" s="129" t="str">
        <f t="shared" si="16"/>
        <v>NA</v>
      </c>
      <c r="AI42" s="128"/>
      <c r="AJ42" s="129" t="str">
        <f t="shared" si="17"/>
        <v>NA</v>
      </c>
      <c r="AK42" s="127">
        <f t="shared" si="18"/>
        <v>10</v>
      </c>
      <c r="AL42" s="127"/>
      <c r="AM42" s="170" t="str">
        <f t="shared" si="19"/>
        <v>NA</v>
      </c>
      <c r="AN42" s="127"/>
      <c r="AO42" s="170" t="str">
        <f t="shared" si="20"/>
        <v>NA</v>
      </c>
      <c r="AP42" s="127"/>
      <c r="AQ42" s="170" t="str">
        <f t="shared" si="21"/>
        <v>NA</v>
      </c>
      <c r="AR42" s="127">
        <f t="shared" si="22"/>
        <v>0</v>
      </c>
      <c r="AS42" s="191">
        <v>7</v>
      </c>
      <c r="AT42" s="129">
        <f t="shared" si="23"/>
        <v>0.7</v>
      </c>
      <c r="AU42" s="128"/>
      <c r="AV42" s="129" t="str">
        <f t="shared" si="24"/>
        <v>NA</v>
      </c>
      <c r="AW42" s="128"/>
      <c r="AX42" s="129" t="str">
        <f t="shared" si="25"/>
        <v>NA</v>
      </c>
      <c r="AY42" s="127">
        <f t="shared" si="26"/>
        <v>7</v>
      </c>
      <c r="AZ42" s="161">
        <f t="shared" si="27"/>
        <v>17</v>
      </c>
      <c r="BA42" s="162">
        <f t="shared" si="28"/>
        <v>79</v>
      </c>
    </row>
    <row r="43" spans="1:53" ht="20.100000000000001" customHeight="1" outlineLevel="1" x14ac:dyDescent="0.25">
      <c r="A43" s="144">
        <v>35</v>
      </c>
      <c r="B43" s="179" t="s">
        <v>223</v>
      </c>
      <c r="C43" s="134"/>
      <c r="D43" s="182">
        <v>10</v>
      </c>
      <c r="E43" s="158">
        <f t="shared" si="1"/>
        <v>0.83333333333333337</v>
      </c>
      <c r="F43" s="184">
        <v>2</v>
      </c>
      <c r="G43" s="158">
        <f t="shared" si="4"/>
        <v>1</v>
      </c>
      <c r="H43" s="184">
        <v>5</v>
      </c>
      <c r="I43" s="158">
        <f t="shared" si="5"/>
        <v>0.83333333333333337</v>
      </c>
      <c r="J43" s="144"/>
      <c r="K43" s="158" t="str">
        <f t="shared" si="6"/>
        <v>NA</v>
      </c>
      <c r="L43" s="135">
        <f t="shared" si="29"/>
        <v>17</v>
      </c>
      <c r="M43" s="187">
        <v>11</v>
      </c>
      <c r="N43" s="159">
        <f t="shared" si="7"/>
        <v>0.91666666666666663</v>
      </c>
      <c r="O43" s="187">
        <v>13</v>
      </c>
      <c r="P43" s="159">
        <f t="shared" si="8"/>
        <v>0.56521739130434778</v>
      </c>
      <c r="Q43" s="187">
        <v>13</v>
      </c>
      <c r="R43" s="159">
        <f t="shared" si="9"/>
        <v>0.8666666666666667</v>
      </c>
      <c r="S43" s="145"/>
      <c r="T43" s="159" t="str">
        <f t="shared" si="10"/>
        <v>NA</v>
      </c>
      <c r="U43" s="136">
        <f t="shared" si="2"/>
        <v>37</v>
      </c>
      <c r="V43" s="184">
        <v>3</v>
      </c>
      <c r="W43" s="160">
        <f t="shared" si="11"/>
        <v>1</v>
      </c>
      <c r="X43" s="184">
        <v>3</v>
      </c>
      <c r="Y43" s="160">
        <f t="shared" si="12"/>
        <v>0.75</v>
      </c>
      <c r="Z43" s="184">
        <v>3</v>
      </c>
      <c r="AA43" s="160">
        <f t="shared" si="13"/>
        <v>1</v>
      </c>
      <c r="AB43" s="144"/>
      <c r="AC43" s="160" t="str">
        <f t="shared" si="3"/>
        <v>NA</v>
      </c>
      <c r="AD43" s="137">
        <f t="shared" si="14"/>
        <v>9</v>
      </c>
      <c r="AE43" s="191">
        <v>10</v>
      </c>
      <c r="AF43" s="129">
        <f t="shared" si="15"/>
        <v>1</v>
      </c>
      <c r="AG43" s="128"/>
      <c r="AH43" s="129" t="str">
        <f t="shared" si="16"/>
        <v>NA</v>
      </c>
      <c r="AI43" s="128"/>
      <c r="AJ43" s="129" t="str">
        <f t="shared" si="17"/>
        <v>NA</v>
      </c>
      <c r="AK43" s="127">
        <f t="shared" si="18"/>
        <v>10</v>
      </c>
      <c r="AL43" s="127"/>
      <c r="AM43" s="170" t="str">
        <f t="shared" si="19"/>
        <v>NA</v>
      </c>
      <c r="AN43" s="127"/>
      <c r="AO43" s="170" t="str">
        <f t="shared" si="20"/>
        <v>NA</v>
      </c>
      <c r="AP43" s="127"/>
      <c r="AQ43" s="170" t="str">
        <f t="shared" si="21"/>
        <v>NA</v>
      </c>
      <c r="AR43" s="127">
        <f t="shared" si="22"/>
        <v>0</v>
      </c>
      <c r="AS43" s="191">
        <v>10</v>
      </c>
      <c r="AT43" s="129">
        <f t="shared" si="23"/>
        <v>1</v>
      </c>
      <c r="AU43" s="128"/>
      <c r="AV43" s="129" t="str">
        <f t="shared" si="24"/>
        <v>NA</v>
      </c>
      <c r="AW43" s="128"/>
      <c r="AX43" s="129" t="str">
        <f t="shared" si="25"/>
        <v>NA</v>
      </c>
      <c r="AY43" s="127">
        <f t="shared" si="26"/>
        <v>10</v>
      </c>
      <c r="AZ43" s="161">
        <f t="shared" si="27"/>
        <v>20</v>
      </c>
      <c r="BA43" s="162">
        <f t="shared" si="28"/>
        <v>83</v>
      </c>
    </row>
    <row r="44" spans="1:53" ht="20.100000000000001" customHeight="1" outlineLevel="1" x14ac:dyDescent="0.25">
      <c r="A44" s="144">
        <v>36</v>
      </c>
      <c r="B44" s="179" t="s">
        <v>224</v>
      </c>
      <c r="C44" s="134"/>
      <c r="D44" s="182">
        <v>11</v>
      </c>
      <c r="E44" s="158">
        <f t="shared" si="1"/>
        <v>0.91666666666666663</v>
      </c>
      <c r="F44" s="184">
        <v>1</v>
      </c>
      <c r="G44" s="158">
        <f t="shared" si="4"/>
        <v>0.5</v>
      </c>
      <c r="H44" s="184">
        <v>5</v>
      </c>
      <c r="I44" s="158">
        <f t="shared" si="5"/>
        <v>0.83333333333333337</v>
      </c>
      <c r="J44" s="144"/>
      <c r="K44" s="158" t="str">
        <f t="shared" si="6"/>
        <v>NA</v>
      </c>
      <c r="L44" s="135">
        <f t="shared" si="29"/>
        <v>17</v>
      </c>
      <c r="M44" s="187">
        <v>11</v>
      </c>
      <c r="N44" s="159">
        <f t="shared" si="7"/>
        <v>0.91666666666666663</v>
      </c>
      <c r="O44" s="187">
        <v>20</v>
      </c>
      <c r="P44" s="159">
        <f t="shared" si="8"/>
        <v>0.86956521739130432</v>
      </c>
      <c r="Q44" s="187">
        <v>11</v>
      </c>
      <c r="R44" s="159">
        <f t="shared" si="9"/>
        <v>0.73333333333333328</v>
      </c>
      <c r="S44" s="145"/>
      <c r="T44" s="159" t="str">
        <f t="shared" si="10"/>
        <v>NA</v>
      </c>
      <c r="U44" s="136">
        <f t="shared" si="2"/>
        <v>42</v>
      </c>
      <c r="V44" s="184">
        <v>3</v>
      </c>
      <c r="W44" s="160">
        <f t="shared" si="11"/>
        <v>1</v>
      </c>
      <c r="X44" s="184">
        <v>4</v>
      </c>
      <c r="Y44" s="160">
        <f t="shared" si="12"/>
        <v>1</v>
      </c>
      <c r="Z44" s="184">
        <v>3</v>
      </c>
      <c r="AA44" s="160">
        <f t="shared" si="13"/>
        <v>1</v>
      </c>
      <c r="AB44" s="144"/>
      <c r="AC44" s="160" t="str">
        <f t="shared" si="3"/>
        <v>NA</v>
      </c>
      <c r="AD44" s="137">
        <f t="shared" si="14"/>
        <v>10</v>
      </c>
      <c r="AE44" s="191">
        <v>10</v>
      </c>
      <c r="AF44" s="129">
        <f t="shared" si="15"/>
        <v>1</v>
      </c>
      <c r="AG44" s="128"/>
      <c r="AH44" s="129" t="str">
        <f t="shared" si="16"/>
        <v>NA</v>
      </c>
      <c r="AI44" s="128"/>
      <c r="AJ44" s="129" t="str">
        <f t="shared" si="17"/>
        <v>NA</v>
      </c>
      <c r="AK44" s="127">
        <f t="shared" si="18"/>
        <v>10</v>
      </c>
      <c r="AL44" s="127"/>
      <c r="AM44" s="170" t="str">
        <f t="shared" si="19"/>
        <v>NA</v>
      </c>
      <c r="AN44" s="127"/>
      <c r="AO44" s="170" t="str">
        <f t="shared" si="20"/>
        <v>NA</v>
      </c>
      <c r="AP44" s="127"/>
      <c r="AQ44" s="170" t="str">
        <f t="shared" si="21"/>
        <v>NA</v>
      </c>
      <c r="AR44" s="127">
        <f t="shared" si="22"/>
        <v>0</v>
      </c>
      <c r="AS44" s="191">
        <v>9</v>
      </c>
      <c r="AT44" s="129">
        <f t="shared" si="23"/>
        <v>0.9</v>
      </c>
      <c r="AU44" s="128"/>
      <c r="AV44" s="129" t="str">
        <f t="shared" si="24"/>
        <v>NA</v>
      </c>
      <c r="AW44" s="128"/>
      <c r="AX44" s="129" t="str">
        <f t="shared" si="25"/>
        <v>NA</v>
      </c>
      <c r="AY44" s="127">
        <f t="shared" si="26"/>
        <v>9</v>
      </c>
      <c r="AZ44" s="161">
        <f t="shared" si="27"/>
        <v>19</v>
      </c>
      <c r="BA44" s="162">
        <f t="shared" si="28"/>
        <v>88</v>
      </c>
    </row>
    <row r="45" spans="1:53" ht="20.100000000000001" customHeight="1" outlineLevel="1" x14ac:dyDescent="0.25">
      <c r="A45" s="144">
        <v>37</v>
      </c>
      <c r="B45" s="179" t="s">
        <v>225</v>
      </c>
      <c r="C45" s="134"/>
      <c r="D45" s="182">
        <v>12</v>
      </c>
      <c r="E45" s="158">
        <f t="shared" si="1"/>
        <v>1</v>
      </c>
      <c r="F45" s="184">
        <v>1</v>
      </c>
      <c r="G45" s="158">
        <f t="shared" si="4"/>
        <v>0.5</v>
      </c>
      <c r="H45" s="184">
        <v>6</v>
      </c>
      <c r="I45" s="158">
        <f t="shared" si="5"/>
        <v>1</v>
      </c>
      <c r="J45" s="144"/>
      <c r="K45" s="158" t="str">
        <f t="shared" si="6"/>
        <v>NA</v>
      </c>
      <c r="L45" s="135">
        <f t="shared" si="29"/>
        <v>19</v>
      </c>
      <c r="M45" s="187">
        <v>11</v>
      </c>
      <c r="N45" s="159">
        <f t="shared" si="7"/>
        <v>0.91666666666666663</v>
      </c>
      <c r="O45" s="187">
        <v>15</v>
      </c>
      <c r="P45" s="159">
        <f t="shared" si="8"/>
        <v>0.65217391304347827</v>
      </c>
      <c r="Q45" s="187">
        <v>8</v>
      </c>
      <c r="R45" s="159">
        <f t="shared" si="9"/>
        <v>0.53333333333333333</v>
      </c>
      <c r="S45" s="145"/>
      <c r="T45" s="159" t="str">
        <f t="shared" si="10"/>
        <v>NA</v>
      </c>
      <c r="U45" s="136">
        <f t="shared" si="2"/>
        <v>34</v>
      </c>
      <c r="V45" s="184">
        <v>3</v>
      </c>
      <c r="W45" s="160">
        <f t="shared" si="11"/>
        <v>1</v>
      </c>
      <c r="X45" s="184">
        <v>3</v>
      </c>
      <c r="Y45" s="160">
        <f t="shared" si="12"/>
        <v>0.75</v>
      </c>
      <c r="Z45" s="184">
        <v>3</v>
      </c>
      <c r="AA45" s="160">
        <f t="shared" si="13"/>
        <v>1</v>
      </c>
      <c r="AB45" s="144"/>
      <c r="AC45" s="160" t="str">
        <f t="shared" si="3"/>
        <v>NA</v>
      </c>
      <c r="AD45" s="137">
        <f t="shared" si="14"/>
        <v>9</v>
      </c>
      <c r="AE45" s="191">
        <v>10</v>
      </c>
      <c r="AF45" s="129">
        <f t="shared" si="15"/>
        <v>1</v>
      </c>
      <c r="AG45" s="128"/>
      <c r="AH45" s="129" t="str">
        <f t="shared" si="16"/>
        <v>NA</v>
      </c>
      <c r="AI45" s="128"/>
      <c r="AJ45" s="129" t="str">
        <f t="shared" si="17"/>
        <v>NA</v>
      </c>
      <c r="AK45" s="127">
        <f t="shared" si="18"/>
        <v>10</v>
      </c>
      <c r="AL45" s="127"/>
      <c r="AM45" s="170" t="str">
        <f t="shared" si="19"/>
        <v>NA</v>
      </c>
      <c r="AN45" s="127"/>
      <c r="AO45" s="170" t="str">
        <f t="shared" si="20"/>
        <v>NA</v>
      </c>
      <c r="AP45" s="127"/>
      <c r="AQ45" s="170" t="str">
        <f t="shared" si="21"/>
        <v>NA</v>
      </c>
      <c r="AR45" s="127">
        <f t="shared" si="22"/>
        <v>0</v>
      </c>
      <c r="AS45" s="191">
        <v>9</v>
      </c>
      <c r="AT45" s="129">
        <f t="shared" si="23"/>
        <v>0.9</v>
      </c>
      <c r="AU45" s="128"/>
      <c r="AV45" s="129" t="str">
        <f t="shared" si="24"/>
        <v>NA</v>
      </c>
      <c r="AW45" s="128"/>
      <c r="AX45" s="129" t="str">
        <f t="shared" si="25"/>
        <v>NA</v>
      </c>
      <c r="AY45" s="127">
        <f t="shared" si="26"/>
        <v>9</v>
      </c>
      <c r="AZ45" s="161">
        <f t="shared" si="27"/>
        <v>19</v>
      </c>
      <c r="BA45" s="162">
        <f t="shared" si="28"/>
        <v>81</v>
      </c>
    </row>
    <row r="46" spans="1:53" ht="20.100000000000001" customHeight="1" outlineLevel="1" x14ac:dyDescent="0.25">
      <c r="A46" s="144">
        <v>38</v>
      </c>
      <c r="B46" s="179" t="s">
        <v>226</v>
      </c>
      <c r="C46" s="134"/>
      <c r="D46" s="182">
        <v>12</v>
      </c>
      <c r="E46" s="158">
        <f t="shared" si="1"/>
        <v>1</v>
      </c>
      <c r="F46" s="184">
        <v>2</v>
      </c>
      <c r="G46" s="158">
        <f t="shared" si="4"/>
        <v>1</v>
      </c>
      <c r="H46" s="184">
        <v>3</v>
      </c>
      <c r="I46" s="158">
        <f t="shared" si="5"/>
        <v>0.5</v>
      </c>
      <c r="J46" s="144"/>
      <c r="K46" s="158" t="str">
        <f t="shared" si="6"/>
        <v>NA</v>
      </c>
      <c r="L46" s="135">
        <f t="shared" si="29"/>
        <v>17</v>
      </c>
      <c r="M46" s="187">
        <v>1</v>
      </c>
      <c r="N46" s="159">
        <f t="shared" si="7"/>
        <v>8.3333333333333329E-2</v>
      </c>
      <c r="O46" s="187">
        <v>4</v>
      </c>
      <c r="P46" s="159">
        <f t="shared" si="8"/>
        <v>0.17391304347826086</v>
      </c>
      <c r="Q46" s="187">
        <v>4</v>
      </c>
      <c r="R46" s="159">
        <f t="shared" si="9"/>
        <v>0.26666666666666666</v>
      </c>
      <c r="S46" s="145"/>
      <c r="T46" s="159" t="str">
        <f t="shared" si="10"/>
        <v>NA</v>
      </c>
      <c r="U46" s="136">
        <f t="shared" si="2"/>
        <v>9</v>
      </c>
      <c r="V46" s="184">
        <v>2</v>
      </c>
      <c r="W46" s="160">
        <f t="shared" si="11"/>
        <v>0.66666666666666663</v>
      </c>
      <c r="X46" s="184">
        <v>2</v>
      </c>
      <c r="Y46" s="160">
        <f t="shared" si="12"/>
        <v>0.5</v>
      </c>
      <c r="Z46" s="184">
        <v>2</v>
      </c>
      <c r="AA46" s="160">
        <f t="shared" si="13"/>
        <v>0.66666666666666663</v>
      </c>
      <c r="AB46" s="144"/>
      <c r="AC46" s="160" t="str">
        <f t="shared" si="3"/>
        <v>NA</v>
      </c>
      <c r="AD46" s="137">
        <f t="shared" si="14"/>
        <v>6</v>
      </c>
      <c r="AE46" s="191"/>
      <c r="AF46" s="129">
        <f t="shared" si="15"/>
        <v>0</v>
      </c>
      <c r="AG46" s="128"/>
      <c r="AH46" s="129" t="str">
        <f t="shared" si="16"/>
        <v>NA</v>
      </c>
      <c r="AI46" s="128"/>
      <c r="AJ46" s="129" t="str">
        <f t="shared" si="17"/>
        <v>NA</v>
      </c>
      <c r="AK46" s="127">
        <f t="shared" si="18"/>
        <v>0</v>
      </c>
      <c r="AL46" s="127"/>
      <c r="AM46" s="170" t="str">
        <f t="shared" si="19"/>
        <v>NA</v>
      </c>
      <c r="AN46" s="127"/>
      <c r="AO46" s="170" t="str">
        <f t="shared" si="20"/>
        <v>NA</v>
      </c>
      <c r="AP46" s="127"/>
      <c r="AQ46" s="170" t="str">
        <f t="shared" si="21"/>
        <v>NA</v>
      </c>
      <c r="AR46" s="127">
        <f t="shared" si="22"/>
        <v>0</v>
      </c>
      <c r="AS46" s="191"/>
      <c r="AT46" s="129">
        <f t="shared" si="23"/>
        <v>0</v>
      </c>
      <c r="AU46" s="128"/>
      <c r="AV46" s="129" t="str">
        <f t="shared" si="24"/>
        <v>NA</v>
      </c>
      <c r="AW46" s="128"/>
      <c r="AX46" s="129" t="str">
        <f t="shared" si="25"/>
        <v>NA</v>
      </c>
      <c r="AY46" s="127">
        <f t="shared" si="26"/>
        <v>0</v>
      </c>
      <c r="AZ46" s="161">
        <f t="shared" si="27"/>
        <v>0</v>
      </c>
      <c r="BA46" s="162">
        <f t="shared" si="28"/>
        <v>32</v>
      </c>
    </row>
    <row r="47" spans="1:53" ht="20.100000000000001" customHeight="1" outlineLevel="1" x14ac:dyDescent="0.25">
      <c r="A47" s="144">
        <v>39</v>
      </c>
      <c r="B47" s="179" t="s">
        <v>227</v>
      </c>
      <c r="C47" s="134"/>
      <c r="D47" s="182">
        <v>0</v>
      </c>
      <c r="E47" s="158">
        <f t="shared" si="1"/>
        <v>0</v>
      </c>
      <c r="F47" s="184">
        <v>0</v>
      </c>
      <c r="G47" s="158">
        <f t="shared" si="4"/>
        <v>0</v>
      </c>
      <c r="H47" s="184">
        <v>0</v>
      </c>
      <c r="I47" s="158">
        <f t="shared" si="5"/>
        <v>0</v>
      </c>
      <c r="J47" s="144"/>
      <c r="K47" s="158" t="str">
        <f t="shared" si="6"/>
        <v>NA</v>
      </c>
      <c r="L47" s="135">
        <f t="shared" si="29"/>
        <v>0</v>
      </c>
      <c r="M47" s="187">
        <v>1</v>
      </c>
      <c r="N47" s="159">
        <f t="shared" si="7"/>
        <v>8.3333333333333329E-2</v>
      </c>
      <c r="O47" s="187">
        <v>4</v>
      </c>
      <c r="P47" s="159">
        <f t="shared" si="8"/>
        <v>0.17391304347826086</v>
      </c>
      <c r="Q47" s="187">
        <v>0</v>
      </c>
      <c r="R47" s="159">
        <f t="shared" si="9"/>
        <v>0</v>
      </c>
      <c r="S47" s="145"/>
      <c r="T47" s="159" t="str">
        <f t="shared" si="10"/>
        <v>NA</v>
      </c>
      <c r="U47" s="136">
        <f t="shared" si="2"/>
        <v>5</v>
      </c>
      <c r="V47" s="184">
        <v>2</v>
      </c>
      <c r="W47" s="160">
        <f t="shared" si="11"/>
        <v>0.66666666666666663</v>
      </c>
      <c r="X47" s="184">
        <v>2</v>
      </c>
      <c r="Y47" s="160">
        <f t="shared" si="12"/>
        <v>0.5</v>
      </c>
      <c r="Z47" s="184">
        <v>2</v>
      </c>
      <c r="AA47" s="160">
        <f t="shared" si="13"/>
        <v>0.66666666666666663</v>
      </c>
      <c r="AB47" s="144"/>
      <c r="AC47" s="160" t="str">
        <f t="shared" si="3"/>
        <v>NA</v>
      </c>
      <c r="AD47" s="137">
        <f t="shared" si="14"/>
        <v>6</v>
      </c>
      <c r="AE47" s="191">
        <v>10</v>
      </c>
      <c r="AF47" s="129">
        <f t="shared" si="15"/>
        <v>1</v>
      </c>
      <c r="AG47" s="128"/>
      <c r="AH47" s="129" t="str">
        <f t="shared" si="16"/>
        <v>NA</v>
      </c>
      <c r="AI47" s="128"/>
      <c r="AJ47" s="129" t="str">
        <f t="shared" si="17"/>
        <v>NA</v>
      </c>
      <c r="AK47" s="127">
        <f t="shared" si="18"/>
        <v>10</v>
      </c>
      <c r="AL47" s="127"/>
      <c r="AM47" s="170" t="str">
        <f t="shared" si="19"/>
        <v>NA</v>
      </c>
      <c r="AN47" s="127"/>
      <c r="AO47" s="170" t="str">
        <f t="shared" si="20"/>
        <v>NA</v>
      </c>
      <c r="AP47" s="127"/>
      <c r="AQ47" s="170" t="str">
        <f t="shared" si="21"/>
        <v>NA</v>
      </c>
      <c r="AR47" s="127">
        <f t="shared" si="22"/>
        <v>0</v>
      </c>
      <c r="AS47" s="191">
        <v>1</v>
      </c>
      <c r="AT47" s="129">
        <f t="shared" si="23"/>
        <v>0.1</v>
      </c>
      <c r="AU47" s="128"/>
      <c r="AV47" s="129" t="str">
        <f t="shared" si="24"/>
        <v>NA</v>
      </c>
      <c r="AW47" s="128"/>
      <c r="AX47" s="129" t="str">
        <f t="shared" si="25"/>
        <v>NA</v>
      </c>
      <c r="AY47" s="127">
        <f t="shared" si="26"/>
        <v>1</v>
      </c>
      <c r="AZ47" s="161">
        <f t="shared" si="27"/>
        <v>11</v>
      </c>
      <c r="BA47" s="162">
        <f t="shared" si="28"/>
        <v>22</v>
      </c>
    </row>
    <row r="48" spans="1:53" ht="20.100000000000001" customHeight="1" outlineLevel="1" x14ac:dyDescent="0.25">
      <c r="A48" s="144">
        <v>40</v>
      </c>
      <c r="B48" s="179" t="s">
        <v>228</v>
      </c>
      <c r="C48" s="134"/>
      <c r="D48" s="182">
        <v>8</v>
      </c>
      <c r="E48" s="158">
        <f t="shared" si="1"/>
        <v>0.66666666666666663</v>
      </c>
      <c r="F48" s="184">
        <v>1</v>
      </c>
      <c r="G48" s="158">
        <f t="shared" si="4"/>
        <v>0.5</v>
      </c>
      <c r="H48" s="184">
        <v>5</v>
      </c>
      <c r="I48" s="158">
        <f t="shared" si="5"/>
        <v>0.83333333333333337</v>
      </c>
      <c r="J48" s="144"/>
      <c r="K48" s="158" t="str">
        <f t="shared" si="6"/>
        <v>NA</v>
      </c>
      <c r="L48" s="135">
        <f t="shared" si="29"/>
        <v>14</v>
      </c>
      <c r="M48" s="187">
        <v>8</v>
      </c>
      <c r="N48" s="159">
        <f t="shared" si="7"/>
        <v>0.66666666666666663</v>
      </c>
      <c r="O48" s="187">
        <v>4</v>
      </c>
      <c r="P48" s="159">
        <f t="shared" si="8"/>
        <v>0.17391304347826086</v>
      </c>
      <c r="Q48" s="187">
        <v>4</v>
      </c>
      <c r="R48" s="159">
        <f t="shared" si="9"/>
        <v>0.26666666666666666</v>
      </c>
      <c r="S48" s="145"/>
      <c r="T48" s="159" t="str">
        <f t="shared" si="10"/>
        <v>NA</v>
      </c>
      <c r="U48" s="136">
        <f t="shared" si="2"/>
        <v>16</v>
      </c>
      <c r="V48" s="184">
        <v>2</v>
      </c>
      <c r="W48" s="160">
        <f t="shared" si="11"/>
        <v>0.66666666666666663</v>
      </c>
      <c r="X48" s="184">
        <v>2</v>
      </c>
      <c r="Y48" s="160">
        <f t="shared" si="12"/>
        <v>0.5</v>
      </c>
      <c r="Z48" s="184">
        <v>2</v>
      </c>
      <c r="AA48" s="160">
        <f t="shared" si="13"/>
        <v>0.66666666666666663</v>
      </c>
      <c r="AB48" s="144"/>
      <c r="AC48" s="160" t="str">
        <f t="shared" si="3"/>
        <v>NA</v>
      </c>
      <c r="AD48" s="137">
        <f t="shared" si="14"/>
        <v>6</v>
      </c>
      <c r="AE48" s="191">
        <v>10</v>
      </c>
      <c r="AF48" s="129">
        <f t="shared" si="15"/>
        <v>1</v>
      </c>
      <c r="AG48" s="128"/>
      <c r="AH48" s="129" t="str">
        <f t="shared" si="16"/>
        <v>NA</v>
      </c>
      <c r="AI48" s="128"/>
      <c r="AJ48" s="129" t="str">
        <f t="shared" si="17"/>
        <v>NA</v>
      </c>
      <c r="AK48" s="127">
        <f t="shared" si="18"/>
        <v>10</v>
      </c>
      <c r="AL48" s="127"/>
      <c r="AM48" s="170" t="str">
        <f t="shared" si="19"/>
        <v>NA</v>
      </c>
      <c r="AN48" s="127"/>
      <c r="AO48" s="170" t="str">
        <f t="shared" si="20"/>
        <v>NA</v>
      </c>
      <c r="AP48" s="127"/>
      <c r="AQ48" s="170" t="str">
        <f t="shared" si="21"/>
        <v>NA</v>
      </c>
      <c r="AR48" s="127">
        <f t="shared" si="22"/>
        <v>0</v>
      </c>
      <c r="AS48" s="191">
        <v>5</v>
      </c>
      <c r="AT48" s="129">
        <f t="shared" si="23"/>
        <v>0.5</v>
      </c>
      <c r="AU48" s="128"/>
      <c r="AV48" s="129" t="str">
        <f t="shared" si="24"/>
        <v>NA</v>
      </c>
      <c r="AW48" s="128"/>
      <c r="AX48" s="129" t="str">
        <f t="shared" si="25"/>
        <v>NA</v>
      </c>
      <c r="AY48" s="127">
        <f t="shared" si="26"/>
        <v>5</v>
      </c>
      <c r="AZ48" s="161">
        <f t="shared" si="27"/>
        <v>15</v>
      </c>
      <c r="BA48" s="162">
        <f t="shared" si="28"/>
        <v>51</v>
      </c>
    </row>
    <row r="49" spans="1:53" ht="20.100000000000001" customHeight="1" outlineLevel="1" x14ac:dyDescent="0.25">
      <c r="A49" s="144">
        <v>41</v>
      </c>
      <c r="B49" s="179" t="s">
        <v>229</v>
      </c>
      <c r="C49" s="134"/>
      <c r="D49" s="182">
        <v>7</v>
      </c>
      <c r="E49" s="158">
        <f t="shared" si="1"/>
        <v>0.58333333333333337</v>
      </c>
      <c r="F49" s="184">
        <v>1</v>
      </c>
      <c r="G49" s="158">
        <f t="shared" si="4"/>
        <v>0.5</v>
      </c>
      <c r="H49" s="184">
        <v>3</v>
      </c>
      <c r="I49" s="158">
        <f t="shared" si="5"/>
        <v>0.5</v>
      </c>
      <c r="J49" s="144"/>
      <c r="K49" s="158" t="str">
        <f t="shared" si="6"/>
        <v>NA</v>
      </c>
      <c r="L49" s="135">
        <f t="shared" si="29"/>
        <v>11</v>
      </c>
      <c r="M49" s="187">
        <v>7</v>
      </c>
      <c r="N49" s="159">
        <f t="shared" si="7"/>
        <v>0.58333333333333337</v>
      </c>
      <c r="O49" s="187">
        <v>6</v>
      </c>
      <c r="P49" s="159">
        <f t="shared" si="8"/>
        <v>0.2608695652173913</v>
      </c>
      <c r="Q49" s="187">
        <v>0</v>
      </c>
      <c r="R49" s="159">
        <f t="shared" si="9"/>
        <v>0</v>
      </c>
      <c r="S49" s="145"/>
      <c r="T49" s="159" t="str">
        <f t="shared" si="10"/>
        <v>NA</v>
      </c>
      <c r="U49" s="136">
        <f t="shared" si="2"/>
        <v>13</v>
      </c>
      <c r="V49" s="184">
        <v>2</v>
      </c>
      <c r="W49" s="160">
        <f t="shared" si="11"/>
        <v>0.66666666666666663</v>
      </c>
      <c r="X49" s="184">
        <v>2</v>
      </c>
      <c r="Y49" s="160">
        <f t="shared" si="12"/>
        <v>0.5</v>
      </c>
      <c r="Z49" s="184">
        <v>2</v>
      </c>
      <c r="AA49" s="160">
        <f t="shared" si="13"/>
        <v>0.66666666666666663</v>
      </c>
      <c r="AB49" s="144"/>
      <c r="AC49" s="160" t="str">
        <f t="shared" si="3"/>
        <v>NA</v>
      </c>
      <c r="AD49" s="137">
        <f t="shared" si="14"/>
        <v>6</v>
      </c>
      <c r="AE49" s="191"/>
      <c r="AF49" s="129">
        <f t="shared" si="15"/>
        <v>0</v>
      </c>
      <c r="AG49" s="128"/>
      <c r="AH49" s="129" t="str">
        <f t="shared" si="16"/>
        <v>NA</v>
      </c>
      <c r="AI49" s="128"/>
      <c r="AJ49" s="129" t="str">
        <f t="shared" si="17"/>
        <v>NA</v>
      </c>
      <c r="AK49" s="127">
        <f t="shared" si="18"/>
        <v>0</v>
      </c>
      <c r="AL49" s="127"/>
      <c r="AM49" s="170" t="str">
        <f t="shared" si="19"/>
        <v>NA</v>
      </c>
      <c r="AN49" s="127"/>
      <c r="AO49" s="170" t="str">
        <f t="shared" si="20"/>
        <v>NA</v>
      </c>
      <c r="AP49" s="127"/>
      <c r="AQ49" s="170" t="str">
        <f t="shared" si="21"/>
        <v>NA</v>
      </c>
      <c r="AR49" s="127">
        <f t="shared" si="22"/>
        <v>0</v>
      </c>
      <c r="AS49" s="191"/>
      <c r="AT49" s="129">
        <f t="shared" si="23"/>
        <v>0</v>
      </c>
      <c r="AU49" s="128"/>
      <c r="AV49" s="129" t="str">
        <f t="shared" si="24"/>
        <v>NA</v>
      </c>
      <c r="AW49" s="128"/>
      <c r="AX49" s="129" t="str">
        <f t="shared" si="25"/>
        <v>NA</v>
      </c>
      <c r="AY49" s="127">
        <f t="shared" si="26"/>
        <v>0</v>
      </c>
      <c r="AZ49" s="161">
        <f t="shared" si="27"/>
        <v>0</v>
      </c>
      <c r="BA49" s="162">
        <f t="shared" si="28"/>
        <v>30</v>
      </c>
    </row>
    <row r="50" spans="1:53" ht="20.100000000000001" customHeight="1" outlineLevel="1" x14ac:dyDescent="0.25">
      <c r="A50" s="144">
        <v>42</v>
      </c>
      <c r="B50" s="179" t="s">
        <v>230</v>
      </c>
      <c r="C50" s="134"/>
      <c r="D50" s="182">
        <v>0</v>
      </c>
      <c r="E50" s="158">
        <f t="shared" si="1"/>
        <v>0</v>
      </c>
      <c r="F50" s="184">
        <v>0</v>
      </c>
      <c r="G50" s="158">
        <f t="shared" si="4"/>
        <v>0</v>
      </c>
      <c r="H50" s="184">
        <v>0</v>
      </c>
      <c r="I50" s="158">
        <f t="shared" si="5"/>
        <v>0</v>
      </c>
      <c r="J50" s="144"/>
      <c r="K50" s="158" t="str">
        <f t="shared" si="6"/>
        <v>NA</v>
      </c>
      <c r="L50" s="135">
        <f t="shared" si="29"/>
        <v>0</v>
      </c>
      <c r="M50" s="187">
        <v>9</v>
      </c>
      <c r="N50" s="159">
        <f t="shared" si="7"/>
        <v>0.75</v>
      </c>
      <c r="O50" s="187">
        <v>12</v>
      </c>
      <c r="P50" s="159">
        <f t="shared" si="8"/>
        <v>0.52173913043478259</v>
      </c>
      <c r="Q50" s="187">
        <v>9</v>
      </c>
      <c r="R50" s="159">
        <f t="shared" si="9"/>
        <v>0.6</v>
      </c>
      <c r="S50" s="145"/>
      <c r="T50" s="159" t="str">
        <f t="shared" si="10"/>
        <v>NA</v>
      </c>
      <c r="U50" s="136">
        <f t="shared" si="2"/>
        <v>30</v>
      </c>
      <c r="V50" s="184">
        <v>2</v>
      </c>
      <c r="W50" s="160">
        <f t="shared" si="11"/>
        <v>0.66666666666666663</v>
      </c>
      <c r="X50" s="184">
        <v>2</v>
      </c>
      <c r="Y50" s="160">
        <f t="shared" si="12"/>
        <v>0.5</v>
      </c>
      <c r="Z50" s="184">
        <v>2</v>
      </c>
      <c r="AA50" s="160">
        <f t="shared" si="13"/>
        <v>0.66666666666666663</v>
      </c>
      <c r="AB50" s="144"/>
      <c r="AC50" s="160" t="str">
        <f t="shared" si="3"/>
        <v>NA</v>
      </c>
      <c r="AD50" s="137">
        <f t="shared" si="14"/>
        <v>6</v>
      </c>
      <c r="AE50" s="191"/>
      <c r="AF50" s="129">
        <f t="shared" si="15"/>
        <v>0</v>
      </c>
      <c r="AG50" s="128"/>
      <c r="AH50" s="129" t="str">
        <f t="shared" si="16"/>
        <v>NA</v>
      </c>
      <c r="AI50" s="128"/>
      <c r="AJ50" s="129" t="str">
        <f t="shared" si="17"/>
        <v>NA</v>
      </c>
      <c r="AK50" s="127">
        <f t="shared" si="18"/>
        <v>0</v>
      </c>
      <c r="AL50" s="127"/>
      <c r="AM50" s="170" t="str">
        <f t="shared" si="19"/>
        <v>NA</v>
      </c>
      <c r="AN50" s="127"/>
      <c r="AO50" s="170" t="str">
        <f t="shared" si="20"/>
        <v>NA</v>
      </c>
      <c r="AP50" s="127"/>
      <c r="AQ50" s="170" t="str">
        <f t="shared" si="21"/>
        <v>NA</v>
      </c>
      <c r="AR50" s="127">
        <f t="shared" si="22"/>
        <v>0</v>
      </c>
      <c r="AS50" s="191"/>
      <c r="AT50" s="129">
        <f t="shared" si="23"/>
        <v>0</v>
      </c>
      <c r="AU50" s="128"/>
      <c r="AV50" s="129" t="str">
        <f t="shared" si="24"/>
        <v>NA</v>
      </c>
      <c r="AW50" s="128"/>
      <c r="AX50" s="129" t="str">
        <f t="shared" si="25"/>
        <v>NA</v>
      </c>
      <c r="AY50" s="127">
        <f t="shared" si="26"/>
        <v>0</v>
      </c>
      <c r="AZ50" s="161">
        <f t="shared" si="27"/>
        <v>0</v>
      </c>
      <c r="BA50" s="162">
        <f t="shared" si="28"/>
        <v>36</v>
      </c>
    </row>
    <row r="51" spans="1:53" hidden="1" x14ac:dyDescent="0.25"/>
    <row r="52" spans="1:53" hidden="1" x14ac:dyDescent="0.25"/>
    <row r="53" spans="1:53" hidden="1" x14ac:dyDescent="0.25"/>
    <row r="54" spans="1:53" hidden="1" x14ac:dyDescent="0.25"/>
    <row r="55" spans="1:53" hidden="1" x14ac:dyDescent="0.25"/>
    <row r="56" spans="1:53" hidden="1" x14ac:dyDescent="0.25"/>
    <row r="57" spans="1:53" hidden="1" x14ac:dyDescent="0.25"/>
    <row r="58" spans="1:53" hidden="1" x14ac:dyDescent="0.25"/>
    <row r="59" spans="1:53" hidden="1" x14ac:dyDescent="0.25"/>
    <row r="60" spans="1:53" hidden="1" x14ac:dyDescent="0.25"/>
    <row r="61" spans="1:53" hidden="1" x14ac:dyDescent="0.25"/>
    <row r="62" spans="1:53" hidden="1" x14ac:dyDescent="0.25"/>
    <row r="63" spans="1:53" hidden="1" x14ac:dyDescent="0.25"/>
    <row r="64" spans="1:53" hidden="1" x14ac:dyDescent="0.25"/>
    <row r="65" hidden="1" x14ac:dyDescent="0.25"/>
    <row r="66" hidden="1" x14ac:dyDescent="0.25"/>
    <row r="67" hidden="1" x14ac:dyDescent="0.25"/>
    <row r="68" hidden="1" x14ac:dyDescent="0.25"/>
    <row r="69" hidden="1" x14ac:dyDescent="0.25"/>
    <row r="70" hidden="1" x14ac:dyDescent="0.25"/>
    <row r="71" hidden="1" x14ac:dyDescent="0.25"/>
    <row r="72" hidden="1" x14ac:dyDescent="0.25"/>
    <row r="73" hidden="1" x14ac:dyDescent="0.25"/>
    <row r="74" hidden="1" x14ac:dyDescent="0.25"/>
    <row r="75" hidden="1" x14ac:dyDescent="0.25"/>
    <row r="76" hidden="1" x14ac:dyDescent="0.25"/>
    <row r="77" hidden="1" x14ac:dyDescent="0.25"/>
    <row r="78" hidden="1" x14ac:dyDescent="0.25"/>
    <row r="79" hidden="1" x14ac:dyDescent="0.25"/>
    <row r="80" hidden="1" x14ac:dyDescent="0.25"/>
    <row r="81" hidden="1" x14ac:dyDescent="0.25"/>
    <row r="82" hidden="1" x14ac:dyDescent="0.25"/>
    <row r="83" hidden="1" x14ac:dyDescent="0.25"/>
    <row r="84" hidden="1" x14ac:dyDescent="0.25"/>
    <row r="85" hidden="1" x14ac:dyDescent="0.25"/>
    <row r="86" hidden="1" x14ac:dyDescent="0.25"/>
    <row r="87" hidden="1" x14ac:dyDescent="0.25"/>
    <row r="88" hidden="1" x14ac:dyDescent="0.25"/>
    <row r="89" hidden="1" x14ac:dyDescent="0.25"/>
    <row r="90" hidden="1" x14ac:dyDescent="0.25"/>
    <row r="91" hidden="1" x14ac:dyDescent="0.25"/>
    <row r="92" hidden="1" x14ac:dyDescent="0.25"/>
    <row r="93" hidden="1" x14ac:dyDescent="0.25"/>
    <row r="94" hidden="1" x14ac:dyDescent="0.25"/>
    <row r="95" hidden="1" x14ac:dyDescent="0.25"/>
    <row r="96" hidden="1" x14ac:dyDescent="0.25"/>
    <row r="97" hidden="1" x14ac:dyDescent="0.25"/>
    <row r="98" hidden="1" x14ac:dyDescent="0.25"/>
    <row r="99" hidden="1" x14ac:dyDescent="0.25"/>
    <row r="100" hidden="1" x14ac:dyDescent="0.25"/>
    <row r="101" hidden="1" x14ac:dyDescent="0.25"/>
    <row r="102" hidden="1" x14ac:dyDescent="0.25"/>
    <row r="103" hidden="1" x14ac:dyDescent="0.25"/>
    <row r="104" hidden="1" x14ac:dyDescent="0.25"/>
    <row r="105" hidden="1" x14ac:dyDescent="0.25"/>
    <row r="106" hidden="1" x14ac:dyDescent="0.25"/>
    <row r="107" hidden="1" x14ac:dyDescent="0.25"/>
    <row r="108" hidden="1" x14ac:dyDescent="0.25"/>
    <row r="109" hidden="1" x14ac:dyDescent="0.25"/>
    <row r="110" hidden="1" x14ac:dyDescent="0.25"/>
    <row r="111" hidden="1" x14ac:dyDescent="0.25"/>
    <row r="112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  <row r="156" hidden="1" x14ac:dyDescent="0.25"/>
    <row r="157" hidden="1" x14ac:dyDescent="0.25"/>
    <row r="158" hidden="1" x14ac:dyDescent="0.25"/>
    <row r="159" hidden="1" x14ac:dyDescent="0.25"/>
    <row r="160" hidden="1" x14ac:dyDescent="0.25"/>
    <row r="161" hidden="1" x14ac:dyDescent="0.25"/>
    <row r="162" hidden="1" x14ac:dyDescent="0.25"/>
    <row r="163" hidden="1" x14ac:dyDescent="0.25"/>
    <row r="164" hidden="1" x14ac:dyDescent="0.25"/>
    <row r="165" hidden="1" x14ac:dyDescent="0.25"/>
    <row r="166" hidden="1" x14ac:dyDescent="0.25"/>
    <row r="167" hidden="1" x14ac:dyDescent="0.25"/>
    <row r="168" hidden="1" x14ac:dyDescent="0.25"/>
    <row r="169" hidden="1" x14ac:dyDescent="0.25"/>
    <row r="170" hidden="1" x14ac:dyDescent="0.25"/>
    <row r="171" hidden="1" x14ac:dyDescent="0.25"/>
    <row r="172" hidden="1" x14ac:dyDescent="0.25"/>
    <row r="173" hidden="1" x14ac:dyDescent="0.25"/>
    <row r="174" hidden="1" x14ac:dyDescent="0.25"/>
    <row r="175" hidden="1" x14ac:dyDescent="0.25"/>
    <row r="176" hidden="1" x14ac:dyDescent="0.25"/>
    <row r="177" hidden="1" x14ac:dyDescent="0.25"/>
    <row r="178" hidden="1" x14ac:dyDescent="0.25"/>
    <row r="179" hidden="1" x14ac:dyDescent="0.25"/>
    <row r="180" hidden="1" x14ac:dyDescent="0.25"/>
    <row r="181" hidden="1" x14ac:dyDescent="0.25"/>
    <row r="182" hidden="1" x14ac:dyDescent="0.25"/>
    <row r="183" hidden="1" x14ac:dyDescent="0.25"/>
    <row r="184" hidden="1" x14ac:dyDescent="0.25"/>
    <row r="185" hidden="1" x14ac:dyDescent="0.25"/>
    <row r="186" hidden="1" x14ac:dyDescent="0.25"/>
    <row r="187" hidden="1" x14ac:dyDescent="0.25"/>
    <row r="188" hidden="1" x14ac:dyDescent="0.25"/>
    <row r="189" hidden="1" x14ac:dyDescent="0.25"/>
    <row r="190" hidden="1" x14ac:dyDescent="0.25"/>
    <row r="191" hidden="1" x14ac:dyDescent="0.25"/>
    <row r="192" hidden="1" x14ac:dyDescent="0.25"/>
    <row r="193" hidden="1" x14ac:dyDescent="0.25"/>
    <row r="194" hidden="1" x14ac:dyDescent="0.25"/>
    <row r="195" hidden="1" x14ac:dyDescent="0.25"/>
    <row r="196" hidden="1" x14ac:dyDescent="0.25"/>
    <row r="197" hidden="1" x14ac:dyDescent="0.25"/>
    <row r="198" hidden="1" x14ac:dyDescent="0.25"/>
    <row r="199" hidden="1" x14ac:dyDescent="0.25"/>
    <row r="200" hidden="1" x14ac:dyDescent="0.25"/>
    <row r="201" hidden="1" x14ac:dyDescent="0.25"/>
    <row r="202" hidden="1" x14ac:dyDescent="0.25"/>
    <row r="203" hidden="1" x14ac:dyDescent="0.25"/>
    <row r="204" hidden="1" x14ac:dyDescent="0.25"/>
    <row r="205" hidden="1" x14ac:dyDescent="0.25"/>
    <row r="206" hidden="1" x14ac:dyDescent="0.25"/>
    <row r="207" hidden="1" x14ac:dyDescent="0.25"/>
    <row r="208" hidden="1" x14ac:dyDescent="0.25"/>
    <row r="209" hidden="1" x14ac:dyDescent="0.25"/>
    <row r="210" hidden="1" x14ac:dyDescent="0.25"/>
    <row r="211" hidden="1" x14ac:dyDescent="0.25"/>
    <row r="212" hidden="1" x14ac:dyDescent="0.25"/>
    <row r="213" hidden="1" x14ac:dyDescent="0.25"/>
    <row r="214" hidden="1" x14ac:dyDescent="0.25"/>
    <row r="215" hidden="1" x14ac:dyDescent="0.25"/>
    <row r="216" hidden="1" x14ac:dyDescent="0.25"/>
    <row r="217" hidden="1" x14ac:dyDescent="0.25"/>
    <row r="218" hidden="1" x14ac:dyDescent="0.25"/>
    <row r="219" hidden="1" x14ac:dyDescent="0.25"/>
    <row r="220" hidden="1" x14ac:dyDescent="0.25"/>
    <row r="221" hidden="1" x14ac:dyDescent="0.25"/>
    <row r="222" hidden="1" x14ac:dyDescent="0.25"/>
    <row r="223" hidden="1" x14ac:dyDescent="0.25"/>
    <row r="224" hidden="1" x14ac:dyDescent="0.25"/>
    <row r="225" hidden="1" x14ac:dyDescent="0.25"/>
    <row r="226" hidden="1" x14ac:dyDescent="0.25"/>
    <row r="227" hidden="1" x14ac:dyDescent="0.25"/>
    <row r="228" hidden="1" x14ac:dyDescent="0.25"/>
    <row r="229" hidden="1" x14ac:dyDescent="0.25"/>
    <row r="230" hidden="1" x14ac:dyDescent="0.25"/>
    <row r="231" hidden="1" x14ac:dyDescent="0.25"/>
    <row r="232" hidden="1" x14ac:dyDescent="0.25"/>
    <row r="233" hidden="1" x14ac:dyDescent="0.25"/>
    <row r="234" hidden="1" x14ac:dyDescent="0.25"/>
    <row r="235" hidden="1" x14ac:dyDescent="0.25"/>
    <row r="236" hidden="1" x14ac:dyDescent="0.25"/>
    <row r="237" hidden="1" x14ac:dyDescent="0.25"/>
    <row r="238" hidden="1" x14ac:dyDescent="0.25"/>
    <row r="239" hidden="1" x14ac:dyDescent="0.25"/>
    <row r="240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7" hidden="1" x14ac:dyDescent="0.25"/>
    <row r="258" hidden="1" x14ac:dyDescent="0.25"/>
    <row r="259" hidden="1" x14ac:dyDescent="0.25"/>
    <row r="260" hidden="1" x14ac:dyDescent="0.25"/>
    <row r="261" hidden="1" x14ac:dyDescent="0.25"/>
    <row r="262" hidden="1" x14ac:dyDescent="0.25"/>
    <row r="263" hidden="1" x14ac:dyDescent="0.25"/>
    <row r="264" hidden="1" x14ac:dyDescent="0.25"/>
    <row r="265" hidden="1" x14ac:dyDescent="0.25"/>
    <row r="266" hidden="1" x14ac:dyDescent="0.25"/>
    <row r="267" hidden="1" x14ac:dyDescent="0.25"/>
    <row r="268" hidden="1" x14ac:dyDescent="0.25"/>
    <row r="269" hidden="1" x14ac:dyDescent="0.25"/>
    <row r="270" hidden="1" x14ac:dyDescent="0.25"/>
    <row r="271" hidden="1" x14ac:dyDescent="0.25"/>
    <row r="272" hidden="1" x14ac:dyDescent="0.25"/>
    <row r="273" hidden="1" x14ac:dyDescent="0.25"/>
    <row r="274" hidden="1" x14ac:dyDescent="0.25"/>
    <row r="275" hidden="1" x14ac:dyDescent="0.25"/>
    <row r="276" hidden="1" x14ac:dyDescent="0.25"/>
    <row r="277" hidden="1" x14ac:dyDescent="0.25"/>
    <row r="278" hidden="1" x14ac:dyDescent="0.25"/>
    <row r="279" hidden="1" x14ac:dyDescent="0.25"/>
    <row r="280" hidden="1" x14ac:dyDescent="0.25"/>
    <row r="281" hidden="1" x14ac:dyDescent="0.25"/>
    <row r="282" hidden="1" x14ac:dyDescent="0.25"/>
    <row r="283" hidden="1" x14ac:dyDescent="0.25"/>
    <row r="284" hidden="1" x14ac:dyDescent="0.25"/>
    <row r="285" hidden="1" x14ac:dyDescent="0.25"/>
    <row r="286" hidden="1" x14ac:dyDescent="0.25"/>
    <row r="287" hidden="1" x14ac:dyDescent="0.25"/>
    <row r="288" hidden="1" x14ac:dyDescent="0.25"/>
    <row r="289" hidden="1" x14ac:dyDescent="0.25"/>
    <row r="290" hidden="1" x14ac:dyDescent="0.25"/>
    <row r="291" hidden="1" x14ac:dyDescent="0.25"/>
    <row r="292" hidden="1" x14ac:dyDescent="0.25"/>
    <row r="293" hidden="1" x14ac:dyDescent="0.25"/>
    <row r="294" hidden="1" x14ac:dyDescent="0.25"/>
    <row r="295" hidden="1" x14ac:dyDescent="0.25"/>
    <row r="296" hidden="1" x14ac:dyDescent="0.25"/>
    <row r="297" hidden="1" x14ac:dyDescent="0.25"/>
    <row r="298" hidden="1" x14ac:dyDescent="0.25"/>
    <row r="299" hidden="1" x14ac:dyDescent="0.25"/>
    <row r="300" hidden="1" x14ac:dyDescent="0.25"/>
    <row r="301" hidden="1" x14ac:dyDescent="0.25"/>
    <row r="302" hidden="1" x14ac:dyDescent="0.25"/>
    <row r="303" hidden="1" x14ac:dyDescent="0.25"/>
    <row r="30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7" hidden="1" x14ac:dyDescent="0.25"/>
    <row r="418" hidden="1" x14ac:dyDescent="0.25"/>
    <row r="419" hidden="1" x14ac:dyDescent="0.25"/>
    <row r="420" hidden="1" x14ac:dyDescent="0.25"/>
    <row r="421" hidden="1" x14ac:dyDescent="0.25"/>
    <row r="422" hidden="1" x14ac:dyDescent="0.25"/>
    <row r="423" hidden="1" x14ac:dyDescent="0.25"/>
    <row r="424" hidden="1" x14ac:dyDescent="0.25"/>
    <row r="425" hidden="1" x14ac:dyDescent="0.25"/>
    <row r="426" hidden="1" x14ac:dyDescent="0.25"/>
    <row r="427" hidden="1" x14ac:dyDescent="0.25"/>
    <row r="428" hidden="1" x14ac:dyDescent="0.25"/>
    <row r="429" hidden="1" x14ac:dyDescent="0.25"/>
    <row r="430" hidden="1" x14ac:dyDescent="0.25"/>
    <row r="431" hidden="1" x14ac:dyDescent="0.25"/>
    <row r="432" hidden="1" x14ac:dyDescent="0.25"/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hidden="1" x14ac:dyDescent="0.25"/>
    <row r="450" hidden="1" x14ac:dyDescent="0.25"/>
    <row r="451" hidden="1" x14ac:dyDescent="0.25"/>
    <row r="452" hidden="1" x14ac:dyDescent="0.25"/>
    <row r="453" hidden="1" x14ac:dyDescent="0.25"/>
    <row r="454" hidden="1" x14ac:dyDescent="0.25"/>
    <row r="455" hidden="1" x14ac:dyDescent="0.25"/>
    <row r="456" hidden="1" x14ac:dyDescent="0.25"/>
    <row r="457" hidden="1" x14ac:dyDescent="0.25"/>
    <row r="458" hidden="1" x14ac:dyDescent="0.25"/>
    <row r="459" hidden="1" x14ac:dyDescent="0.25"/>
    <row r="460" hidden="1" x14ac:dyDescent="0.25"/>
    <row r="461" hidden="1" x14ac:dyDescent="0.25"/>
    <row r="462" hidden="1" x14ac:dyDescent="0.25"/>
    <row r="463" hidden="1" x14ac:dyDescent="0.25"/>
    <row r="464" hidden="1" x14ac:dyDescent="0.25"/>
    <row r="465" hidden="1" x14ac:dyDescent="0.25"/>
    <row r="466" hidden="1" x14ac:dyDescent="0.25"/>
    <row r="467" hidden="1" x14ac:dyDescent="0.25"/>
    <row r="468" hidden="1" x14ac:dyDescent="0.25"/>
    <row r="469" hidden="1" x14ac:dyDescent="0.25"/>
    <row r="470" hidden="1" x14ac:dyDescent="0.25"/>
    <row r="471" hidden="1" x14ac:dyDescent="0.25"/>
    <row r="472" hidden="1" x14ac:dyDescent="0.25"/>
    <row r="473" hidden="1" x14ac:dyDescent="0.25"/>
    <row r="474" hidden="1" x14ac:dyDescent="0.25"/>
    <row r="475" hidden="1" x14ac:dyDescent="0.25"/>
    <row r="476" hidden="1" x14ac:dyDescent="0.25"/>
    <row r="477" hidden="1" x14ac:dyDescent="0.25"/>
    <row r="478" hidden="1" x14ac:dyDescent="0.25"/>
    <row r="479" hidden="1" x14ac:dyDescent="0.25"/>
    <row r="480" hidden="1" x14ac:dyDescent="0.25"/>
    <row r="481" hidden="1" x14ac:dyDescent="0.25"/>
    <row r="482" hidden="1" x14ac:dyDescent="0.25"/>
    <row r="483" hidden="1" x14ac:dyDescent="0.25"/>
    <row r="484" hidden="1" x14ac:dyDescent="0.25"/>
    <row r="485" hidden="1" x14ac:dyDescent="0.25"/>
    <row r="486" hidden="1" x14ac:dyDescent="0.25"/>
    <row r="487" hidden="1" x14ac:dyDescent="0.25"/>
    <row r="488" hidden="1" x14ac:dyDescent="0.25"/>
    <row r="489" hidden="1" x14ac:dyDescent="0.25"/>
    <row r="490" hidden="1" x14ac:dyDescent="0.25"/>
    <row r="491" hidden="1" x14ac:dyDescent="0.25"/>
    <row r="492" hidden="1" x14ac:dyDescent="0.25"/>
    <row r="493" hidden="1" x14ac:dyDescent="0.25"/>
    <row r="494" hidden="1" x14ac:dyDescent="0.25"/>
    <row r="495" hidden="1" x14ac:dyDescent="0.25"/>
    <row r="496" hidden="1" x14ac:dyDescent="0.25"/>
    <row r="497" hidden="1" x14ac:dyDescent="0.25"/>
    <row r="498" hidden="1" x14ac:dyDescent="0.25"/>
    <row r="499" hidden="1" x14ac:dyDescent="0.25"/>
    <row r="500" hidden="1" x14ac:dyDescent="0.25"/>
    <row r="501" hidden="1" x14ac:dyDescent="0.25"/>
    <row r="502" hidden="1" x14ac:dyDescent="0.25"/>
    <row r="503" hidden="1" x14ac:dyDescent="0.25"/>
    <row r="504" hidden="1" x14ac:dyDescent="0.25"/>
    <row r="505" hidden="1" x14ac:dyDescent="0.25"/>
    <row r="506" hidden="1" x14ac:dyDescent="0.25"/>
    <row r="507" hidden="1" x14ac:dyDescent="0.25"/>
    <row r="508" hidden="1" x14ac:dyDescent="0.25"/>
    <row r="509" hidden="1" x14ac:dyDescent="0.25"/>
    <row r="510" hidden="1" x14ac:dyDescent="0.25"/>
    <row r="511" hidden="1" x14ac:dyDescent="0.25"/>
    <row r="512" hidden="1" x14ac:dyDescent="0.25"/>
    <row r="513" hidden="1" x14ac:dyDescent="0.25"/>
    <row r="514" hidden="1" x14ac:dyDescent="0.25"/>
    <row r="515" hidden="1" x14ac:dyDescent="0.25"/>
    <row r="516" hidden="1" x14ac:dyDescent="0.25"/>
    <row r="517" hidden="1" x14ac:dyDescent="0.25"/>
    <row r="518" hidden="1" x14ac:dyDescent="0.25"/>
    <row r="519" hidden="1" x14ac:dyDescent="0.25"/>
    <row r="520" hidden="1" x14ac:dyDescent="0.25"/>
    <row r="521" hidden="1" x14ac:dyDescent="0.25"/>
    <row r="522" hidden="1" x14ac:dyDescent="0.25"/>
    <row r="523" hidden="1" x14ac:dyDescent="0.25"/>
    <row r="524" hidden="1" x14ac:dyDescent="0.25"/>
    <row r="525" hidden="1" x14ac:dyDescent="0.25"/>
    <row r="526" hidden="1" x14ac:dyDescent="0.25"/>
    <row r="527" hidden="1" x14ac:dyDescent="0.25"/>
    <row r="528" hidden="1" x14ac:dyDescent="0.25"/>
    <row r="529" hidden="1" x14ac:dyDescent="0.25"/>
    <row r="530" hidden="1" x14ac:dyDescent="0.25"/>
    <row r="531" hidden="1" x14ac:dyDescent="0.25"/>
    <row r="532" hidden="1" x14ac:dyDescent="0.25"/>
    <row r="533" hidden="1" x14ac:dyDescent="0.25"/>
    <row r="534" hidden="1" x14ac:dyDescent="0.25"/>
    <row r="535" hidden="1" x14ac:dyDescent="0.25"/>
    <row r="536" hidden="1" x14ac:dyDescent="0.25"/>
    <row r="537" hidden="1" x14ac:dyDescent="0.25"/>
    <row r="538" hidden="1" x14ac:dyDescent="0.25"/>
    <row r="539" hidden="1" x14ac:dyDescent="0.25"/>
    <row r="540" hidden="1" x14ac:dyDescent="0.25"/>
    <row r="541" hidden="1" x14ac:dyDescent="0.25"/>
    <row r="542" hidden="1" x14ac:dyDescent="0.25"/>
    <row r="543" hidden="1" x14ac:dyDescent="0.25"/>
    <row r="544" hidden="1" x14ac:dyDescent="0.25"/>
    <row r="545" hidden="1" x14ac:dyDescent="0.25"/>
    <row r="546" hidden="1" x14ac:dyDescent="0.25"/>
    <row r="547" hidden="1" x14ac:dyDescent="0.25"/>
    <row r="548" hidden="1" x14ac:dyDescent="0.25"/>
    <row r="549" hidden="1" x14ac:dyDescent="0.25"/>
    <row r="550" hidden="1" x14ac:dyDescent="0.25"/>
    <row r="551" hidden="1" x14ac:dyDescent="0.25"/>
    <row r="552" hidden="1" x14ac:dyDescent="0.25"/>
    <row r="553" hidden="1" x14ac:dyDescent="0.25"/>
    <row r="554" hidden="1" x14ac:dyDescent="0.25"/>
    <row r="555" hidden="1" x14ac:dyDescent="0.25"/>
    <row r="556" hidden="1" x14ac:dyDescent="0.25"/>
    <row r="557" hidden="1" x14ac:dyDescent="0.25"/>
    <row r="558" hidden="1" x14ac:dyDescent="0.25"/>
    <row r="559" hidden="1" x14ac:dyDescent="0.25"/>
    <row r="560" hidden="1" x14ac:dyDescent="0.25"/>
    <row r="561" hidden="1" x14ac:dyDescent="0.25"/>
    <row r="562" hidden="1" x14ac:dyDescent="0.25"/>
    <row r="563" hidden="1" x14ac:dyDescent="0.25"/>
    <row r="564" hidden="1" x14ac:dyDescent="0.25"/>
    <row r="565" hidden="1" x14ac:dyDescent="0.25"/>
    <row r="566" hidden="1" x14ac:dyDescent="0.25"/>
    <row r="567" hidden="1" x14ac:dyDescent="0.25"/>
    <row r="568" hidden="1" x14ac:dyDescent="0.25"/>
    <row r="569" hidden="1" x14ac:dyDescent="0.25"/>
    <row r="570" hidden="1" x14ac:dyDescent="0.25"/>
    <row r="571" hidden="1" x14ac:dyDescent="0.25"/>
    <row r="572" hidden="1" x14ac:dyDescent="0.25"/>
    <row r="573" hidden="1" x14ac:dyDescent="0.25"/>
    <row r="574" hidden="1" x14ac:dyDescent="0.25"/>
    <row r="575" hidden="1" x14ac:dyDescent="0.25"/>
    <row r="576" hidden="1" x14ac:dyDescent="0.25"/>
    <row r="577" hidden="1" x14ac:dyDescent="0.25"/>
    <row r="578" hidden="1" x14ac:dyDescent="0.25"/>
    <row r="579" hidden="1" x14ac:dyDescent="0.25"/>
    <row r="580" hidden="1" x14ac:dyDescent="0.25"/>
    <row r="581" hidden="1" x14ac:dyDescent="0.25"/>
    <row r="582" hidden="1" x14ac:dyDescent="0.25"/>
    <row r="583" hidden="1" x14ac:dyDescent="0.25"/>
    <row r="584" hidden="1" x14ac:dyDescent="0.25"/>
    <row r="585" hidden="1" x14ac:dyDescent="0.25"/>
    <row r="586" hidden="1" x14ac:dyDescent="0.25"/>
    <row r="587" hidden="1" x14ac:dyDescent="0.25"/>
    <row r="588" hidden="1" x14ac:dyDescent="0.25"/>
    <row r="589" hidden="1" x14ac:dyDescent="0.25"/>
    <row r="590" hidden="1" x14ac:dyDescent="0.25"/>
    <row r="591" hidden="1" x14ac:dyDescent="0.25"/>
    <row r="592" hidden="1" x14ac:dyDescent="0.25"/>
    <row r="593" hidden="1" x14ac:dyDescent="0.25"/>
    <row r="594" hidden="1" x14ac:dyDescent="0.25"/>
    <row r="595" hidden="1" x14ac:dyDescent="0.25"/>
    <row r="596" hidden="1" x14ac:dyDescent="0.25"/>
    <row r="597" hidden="1" x14ac:dyDescent="0.25"/>
    <row r="598" hidden="1" x14ac:dyDescent="0.25"/>
    <row r="599" hidden="1" x14ac:dyDescent="0.25"/>
    <row r="600" hidden="1" x14ac:dyDescent="0.25"/>
    <row r="601" hidden="1" x14ac:dyDescent="0.25"/>
    <row r="602" hidden="1" x14ac:dyDescent="0.25"/>
    <row r="603" hidden="1" x14ac:dyDescent="0.25"/>
    <row r="604" hidden="1" x14ac:dyDescent="0.25"/>
    <row r="605" hidden="1" x14ac:dyDescent="0.25"/>
    <row r="606" hidden="1" x14ac:dyDescent="0.25"/>
    <row r="607" hidden="1" x14ac:dyDescent="0.25"/>
    <row r="608" hidden="1" x14ac:dyDescent="0.25"/>
    <row r="609" hidden="1" x14ac:dyDescent="0.25"/>
    <row r="610" hidden="1" x14ac:dyDescent="0.25"/>
    <row r="611" hidden="1" x14ac:dyDescent="0.25"/>
    <row r="612" hidden="1" x14ac:dyDescent="0.25"/>
    <row r="613" hidden="1" x14ac:dyDescent="0.25"/>
    <row r="614" hidden="1" x14ac:dyDescent="0.25"/>
    <row r="615" hidden="1" x14ac:dyDescent="0.25"/>
    <row r="616" hidden="1" x14ac:dyDescent="0.25"/>
    <row r="617" hidden="1" x14ac:dyDescent="0.25"/>
    <row r="618" hidden="1" x14ac:dyDescent="0.25"/>
    <row r="619" hidden="1" x14ac:dyDescent="0.25"/>
    <row r="620" hidden="1" x14ac:dyDescent="0.25"/>
    <row r="621" hidden="1" x14ac:dyDescent="0.25"/>
    <row r="622" hidden="1" x14ac:dyDescent="0.25"/>
    <row r="623" hidden="1" x14ac:dyDescent="0.25"/>
    <row r="624" hidden="1" x14ac:dyDescent="0.25"/>
    <row r="625" hidden="1" x14ac:dyDescent="0.25"/>
    <row r="626" hidden="1" x14ac:dyDescent="0.25"/>
    <row r="627" hidden="1" x14ac:dyDescent="0.25"/>
    <row r="628" hidden="1" x14ac:dyDescent="0.25"/>
    <row r="629" hidden="1" x14ac:dyDescent="0.25"/>
    <row r="630" hidden="1" x14ac:dyDescent="0.25"/>
    <row r="631" hidden="1" x14ac:dyDescent="0.25"/>
    <row r="632" hidden="1" x14ac:dyDescent="0.25"/>
    <row r="633" hidden="1" x14ac:dyDescent="0.25"/>
    <row r="634" hidden="1" x14ac:dyDescent="0.25"/>
    <row r="635" hidden="1" x14ac:dyDescent="0.25"/>
    <row r="636" hidden="1" x14ac:dyDescent="0.25"/>
    <row r="637" hidden="1" x14ac:dyDescent="0.25"/>
    <row r="638" hidden="1" x14ac:dyDescent="0.25"/>
    <row r="639" hidden="1" x14ac:dyDescent="0.25"/>
    <row r="640" hidden="1" x14ac:dyDescent="0.25"/>
    <row r="641" hidden="1" x14ac:dyDescent="0.25"/>
    <row r="642" hidden="1" x14ac:dyDescent="0.25"/>
    <row r="643" hidden="1" x14ac:dyDescent="0.25"/>
    <row r="644" hidden="1" x14ac:dyDescent="0.25"/>
    <row r="645" hidden="1" x14ac:dyDescent="0.25"/>
    <row r="646" hidden="1" x14ac:dyDescent="0.25"/>
    <row r="647" hidden="1" x14ac:dyDescent="0.25"/>
    <row r="648" hidden="1" x14ac:dyDescent="0.25"/>
    <row r="649" hidden="1" x14ac:dyDescent="0.25"/>
    <row r="650" hidden="1" x14ac:dyDescent="0.25"/>
    <row r="651" hidden="1" x14ac:dyDescent="0.25"/>
    <row r="652" hidden="1" x14ac:dyDescent="0.25"/>
    <row r="653" hidden="1" x14ac:dyDescent="0.25"/>
    <row r="654" hidden="1" x14ac:dyDescent="0.25"/>
    <row r="655" hidden="1" x14ac:dyDescent="0.25"/>
    <row r="656" hidden="1" x14ac:dyDescent="0.25"/>
    <row r="657" hidden="1" x14ac:dyDescent="0.25"/>
    <row r="658" hidden="1" x14ac:dyDescent="0.25"/>
    <row r="659" hidden="1" x14ac:dyDescent="0.25"/>
    <row r="660" hidden="1" x14ac:dyDescent="0.25"/>
    <row r="661" hidden="1" x14ac:dyDescent="0.25"/>
    <row r="662" hidden="1" x14ac:dyDescent="0.25"/>
    <row r="663" hidden="1" x14ac:dyDescent="0.25"/>
    <row r="664" hidden="1" x14ac:dyDescent="0.25"/>
    <row r="665" hidden="1" x14ac:dyDescent="0.25"/>
    <row r="666" hidden="1" x14ac:dyDescent="0.25"/>
    <row r="667" hidden="1" x14ac:dyDescent="0.25"/>
    <row r="668" hidden="1" x14ac:dyDescent="0.25"/>
    <row r="669" hidden="1" x14ac:dyDescent="0.25"/>
    <row r="670" hidden="1" x14ac:dyDescent="0.25"/>
    <row r="671" hidden="1" x14ac:dyDescent="0.25"/>
    <row r="672" hidden="1" x14ac:dyDescent="0.25"/>
    <row r="673" hidden="1" x14ac:dyDescent="0.25"/>
    <row r="674" hidden="1" x14ac:dyDescent="0.25"/>
    <row r="675" hidden="1" x14ac:dyDescent="0.25"/>
    <row r="676" hidden="1" x14ac:dyDescent="0.25"/>
    <row r="677" hidden="1" x14ac:dyDescent="0.25"/>
    <row r="678" hidden="1" x14ac:dyDescent="0.25"/>
    <row r="679" hidden="1" x14ac:dyDescent="0.25"/>
    <row r="680" hidden="1" x14ac:dyDescent="0.25"/>
    <row r="681" hidden="1" x14ac:dyDescent="0.25"/>
    <row r="682" hidden="1" x14ac:dyDescent="0.25"/>
    <row r="683" hidden="1" x14ac:dyDescent="0.25"/>
    <row r="684" hidden="1" x14ac:dyDescent="0.25"/>
    <row r="685" hidden="1" x14ac:dyDescent="0.25"/>
    <row r="686" hidden="1" x14ac:dyDescent="0.25"/>
    <row r="687" hidden="1" x14ac:dyDescent="0.25"/>
    <row r="688" hidden="1" x14ac:dyDescent="0.25"/>
    <row r="689" hidden="1" x14ac:dyDescent="0.25"/>
    <row r="690" hidden="1" x14ac:dyDescent="0.25"/>
    <row r="691" hidden="1" x14ac:dyDescent="0.25"/>
    <row r="692" hidden="1" x14ac:dyDescent="0.25"/>
    <row r="693" hidden="1" x14ac:dyDescent="0.25"/>
    <row r="694" hidden="1" x14ac:dyDescent="0.25"/>
    <row r="695" hidden="1" x14ac:dyDescent="0.25"/>
    <row r="696" hidden="1" x14ac:dyDescent="0.25"/>
    <row r="697" hidden="1" x14ac:dyDescent="0.25"/>
    <row r="698" hidden="1" x14ac:dyDescent="0.25"/>
    <row r="699" hidden="1" x14ac:dyDescent="0.25"/>
    <row r="700" hidden="1" x14ac:dyDescent="0.25"/>
    <row r="701" hidden="1" x14ac:dyDescent="0.25"/>
    <row r="702" hidden="1" x14ac:dyDescent="0.25"/>
    <row r="703" hidden="1" x14ac:dyDescent="0.25"/>
    <row r="704" hidden="1" x14ac:dyDescent="0.25"/>
    <row r="705" hidden="1" x14ac:dyDescent="0.25"/>
    <row r="706" hidden="1" x14ac:dyDescent="0.25"/>
    <row r="707" hidden="1" x14ac:dyDescent="0.25"/>
    <row r="708" hidden="1" x14ac:dyDescent="0.25"/>
    <row r="709" hidden="1" x14ac:dyDescent="0.25"/>
    <row r="710" hidden="1" x14ac:dyDescent="0.25"/>
    <row r="711" hidden="1" x14ac:dyDescent="0.25"/>
    <row r="712" hidden="1" x14ac:dyDescent="0.25"/>
    <row r="713" hidden="1" x14ac:dyDescent="0.25"/>
    <row r="714" hidden="1" x14ac:dyDescent="0.25"/>
    <row r="715" hidden="1" x14ac:dyDescent="0.25"/>
    <row r="716" hidden="1" x14ac:dyDescent="0.25"/>
    <row r="717" hidden="1" x14ac:dyDescent="0.25"/>
    <row r="718" hidden="1" x14ac:dyDescent="0.25"/>
    <row r="719" hidden="1" x14ac:dyDescent="0.25"/>
    <row r="720" hidden="1" x14ac:dyDescent="0.25"/>
    <row r="721" hidden="1" x14ac:dyDescent="0.25"/>
    <row r="722" hidden="1" x14ac:dyDescent="0.25"/>
    <row r="723" hidden="1" x14ac:dyDescent="0.25"/>
    <row r="724" hidden="1" x14ac:dyDescent="0.25"/>
    <row r="725" hidden="1" x14ac:dyDescent="0.25"/>
    <row r="726" hidden="1" x14ac:dyDescent="0.25"/>
    <row r="727" hidden="1" x14ac:dyDescent="0.25"/>
    <row r="728" hidden="1" x14ac:dyDescent="0.25"/>
    <row r="729" hidden="1" x14ac:dyDescent="0.25"/>
    <row r="730" hidden="1" x14ac:dyDescent="0.25"/>
    <row r="731" hidden="1" x14ac:dyDescent="0.25"/>
    <row r="732" hidden="1" x14ac:dyDescent="0.25"/>
    <row r="733" hidden="1" x14ac:dyDescent="0.25"/>
    <row r="734" hidden="1" x14ac:dyDescent="0.25"/>
    <row r="735" hidden="1" x14ac:dyDescent="0.25"/>
    <row r="736" hidden="1" x14ac:dyDescent="0.25"/>
    <row r="737" hidden="1" x14ac:dyDescent="0.25"/>
    <row r="738" hidden="1" x14ac:dyDescent="0.25"/>
    <row r="739" hidden="1" x14ac:dyDescent="0.25"/>
    <row r="740" hidden="1" x14ac:dyDescent="0.25"/>
    <row r="741" hidden="1" x14ac:dyDescent="0.25"/>
    <row r="742" hidden="1" x14ac:dyDescent="0.25"/>
    <row r="743" hidden="1" x14ac:dyDescent="0.25"/>
    <row r="744" hidden="1" x14ac:dyDescent="0.25"/>
    <row r="745" hidden="1" x14ac:dyDescent="0.25"/>
    <row r="746" hidden="1" x14ac:dyDescent="0.25"/>
    <row r="747" hidden="1" x14ac:dyDescent="0.25"/>
    <row r="748" hidden="1" x14ac:dyDescent="0.25"/>
    <row r="749" hidden="1" x14ac:dyDescent="0.25"/>
    <row r="750" hidden="1" x14ac:dyDescent="0.25"/>
    <row r="751" hidden="1" x14ac:dyDescent="0.25"/>
    <row r="752" hidden="1" x14ac:dyDescent="0.25"/>
    <row r="753" hidden="1" x14ac:dyDescent="0.25"/>
    <row r="754" hidden="1" x14ac:dyDescent="0.25"/>
    <row r="755" hidden="1" x14ac:dyDescent="0.25"/>
    <row r="756" hidden="1" x14ac:dyDescent="0.25"/>
    <row r="757" hidden="1" x14ac:dyDescent="0.25"/>
    <row r="758" hidden="1" x14ac:dyDescent="0.25"/>
    <row r="759" hidden="1" x14ac:dyDescent="0.25"/>
    <row r="760" hidden="1" x14ac:dyDescent="0.25"/>
    <row r="761" hidden="1" x14ac:dyDescent="0.25"/>
    <row r="762" hidden="1" x14ac:dyDescent="0.25"/>
    <row r="763" hidden="1" x14ac:dyDescent="0.25"/>
    <row r="764" hidden="1" x14ac:dyDescent="0.25"/>
    <row r="765" hidden="1" x14ac:dyDescent="0.25"/>
    <row r="766" hidden="1" x14ac:dyDescent="0.25"/>
    <row r="767" hidden="1" x14ac:dyDescent="0.25"/>
    <row r="768" hidden="1" x14ac:dyDescent="0.25"/>
    <row r="769" hidden="1" x14ac:dyDescent="0.25"/>
    <row r="770" hidden="1" x14ac:dyDescent="0.25"/>
    <row r="771" hidden="1" x14ac:dyDescent="0.25"/>
    <row r="772" hidden="1" x14ac:dyDescent="0.25"/>
    <row r="773" hidden="1" x14ac:dyDescent="0.25"/>
    <row r="774" hidden="1" x14ac:dyDescent="0.25"/>
    <row r="775" hidden="1" x14ac:dyDescent="0.25"/>
    <row r="776" hidden="1" x14ac:dyDescent="0.25"/>
    <row r="777" hidden="1" x14ac:dyDescent="0.25"/>
    <row r="778" hidden="1" x14ac:dyDescent="0.25"/>
    <row r="779" hidden="1" x14ac:dyDescent="0.25"/>
    <row r="780" hidden="1" x14ac:dyDescent="0.25"/>
    <row r="781" hidden="1" x14ac:dyDescent="0.25"/>
    <row r="782" hidden="1" x14ac:dyDescent="0.25"/>
    <row r="783" hidden="1" x14ac:dyDescent="0.25"/>
    <row r="784" hidden="1" x14ac:dyDescent="0.25"/>
    <row r="785" hidden="1" x14ac:dyDescent="0.25"/>
    <row r="786" hidden="1" x14ac:dyDescent="0.25"/>
    <row r="787" hidden="1" x14ac:dyDescent="0.25"/>
    <row r="788" hidden="1" x14ac:dyDescent="0.25"/>
    <row r="789" hidden="1" x14ac:dyDescent="0.25"/>
    <row r="790" hidden="1" x14ac:dyDescent="0.25"/>
    <row r="791" hidden="1" x14ac:dyDescent="0.25"/>
    <row r="792" hidden="1" x14ac:dyDescent="0.25"/>
    <row r="793" hidden="1" x14ac:dyDescent="0.25"/>
    <row r="794" hidden="1" x14ac:dyDescent="0.25"/>
    <row r="795" hidden="1" x14ac:dyDescent="0.25"/>
    <row r="796" hidden="1" x14ac:dyDescent="0.25"/>
    <row r="797" hidden="1" x14ac:dyDescent="0.25"/>
    <row r="798" hidden="1" x14ac:dyDescent="0.25"/>
    <row r="799" hidden="1" x14ac:dyDescent="0.25"/>
    <row r="800" hidden="1" x14ac:dyDescent="0.25"/>
    <row r="801" hidden="1" x14ac:dyDescent="0.25"/>
    <row r="802" hidden="1" x14ac:dyDescent="0.25"/>
    <row r="803" hidden="1" x14ac:dyDescent="0.25"/>
    <row r="804" hidden="1" x14ac:dyDescent="0.25"/>
    <row r="805" hidden="1" x14ac:dyDescent="0.25"/>
    <row r="806" hidden="1" x14ac:dyDescent="0.25"/>
    <row r="807" hidden="1" x14ac:dyDescent="0.25"/>
    <row r="808" hidden="1" x14ac:dyDescent="0.25"/>
    <row r="809" hidden="1" x14ac:dyDescent="0.25"/>
    <row r="810" hidden="1" x14ac:dyDescent="0.25"/>
    <row r="811" hidden="1" x14ac:dyDescent="0.25"/>
    <row r="812" hidden="1" x14ac:dyDescent="0.25"/>
    <row r="813" hidden="1" x14ac:dyDescent="0.25"/>
    <row r="814" hidden="1" x14ac:dyDescent="0.25"/>
    <row r="815" hidden="1" x14ac:dyDescent="0.25"/>
    <row r="816" hidden="1" x14ac:dyDescent="0.25"/>
    <row r="817" hidden="1" x14ac:dyDescent="0.25"/>
    <row r="818" hidden="1" x14ac:dyDescent="0.25"/>
    <row r="819" hidden="1" x14ac:dyDescent="0.25"/>
    <row r="820" hidden="1" x14ac:dyDescent="0.25"/>
    <row r="821" hidden="1" x14ac:dyDescent="0.25"/>
    <row r="822" hidden="1" x14ac:dyDescent="0.25"/>
    <row r="823" hidden="1" x14ac:dyDescent="0.25"/>
    <row r="824" hidden="1" x14ac:dyDescent="0.25"/>
    <row r="825" hidden="1" x14ac:dyDescent="0.25"/>
    <row r="826" hidden="1" x14ac:dyDescent="0.25"/>
    <row r="827" hidden="1" x14ac:dyDescent="0.25"/>
    <row r="828" hidden="1" x14ac:dyDescent="0.25"/>
    <row r="829" hidden="1" x14ac:dyDescent="0.25"/>
    <row r="830" hidden="1" x14ac:dyDescent="0.25"/>
    <row r="831" hidden="1" x14ac:dyDescent="0.25"/>
    <row r="832" hidden="1" x14ac:dyDescent="0.25"/>
    <row r="833" hidden="1" x14ac:dyDescent="0.25"/>
    <row r="834" hidden="1" x14ac:dyDescent="0.25"/>
    <row r="835" hidden="1" x14ac:dyDescent="0.25"/>
    <row r="836" hidden="1" x14ac:dyDescent="0.25"/>
    <row r="837" hidden="1" x14ac:dyDescent="0.25"/>
    <row r="838" hidden="1" x14ac:dyDescent="0.25"/>
    <row r="839" hidden="1" x14ac:dyDescent="0.25"/>
    <row r="840" hidden="1" x14ac:dyDescent="0.25"/>
    <row r="841" hidden="1" x14ac:dyDescent="0.25"/>
    <row r="842" hidden="1" x14ac:dyDescent="0.25"/>
    <row r="843" hidden="1" x14ac:dyDescent="0.25"/>
    <row r="844" hidden="1" x14ac:dyDescent="0.25"/>
    <row r="845" hidden="1" x14ac:dyDescent="0.25"/>
    <row r="846" hidden="1" x14ac:dyDescent="0.25"/>
    <row r="847" hidden="1" x14ac:dyDescent="0.25"/>
    <row r="848" hidden="1" x14ac:dyDescent="0.25"/>
    <row r="849" hidden="1" x14ac:dyDescent="0.25"/>
    <row r="850" hidden="1" x14ac:dyDescent="0.25"/>
    <row r="851" hidden="1" x14ac:dyDescent="0.25"/>
    <row r="852" hidden="1" x14ac:dyDescent="0.25"/>
    <row r="853" hidden="1" x14ac:dyDescent="0.25"/>
    <row r="854" hidden="1" x14ac:dyDescent="0.25"/>
    <row r="855" hidden="1" x14ac:dyDescent="0.25"/>
    <row r="856" hidden="1" x14ac:dyDescent="0.25"/>
    <row r="857" hidden="1" x14ac:dyDescent="0.25"/>
    <row r="858" hidden="1" x14ac:dyDescent="0.25"/>
    <row r="859" hidden="1" x14ac:dyDescent="0.25"/>
    <row r="860" hidden="1" x14ac:dyDescent="0.25"/>
    <row r="861" hidden="1" x14ac:dyDescent="0.25"/>
    <row r="862" hidden="1" x14ac:dyDescent="0.25"/>
    <row r="863" hidden="1" x14ac:dyDescent="0.25"/>
    <row r="864" hidden="1" x14ac:dyDescent="0.25"/>
    <row r="865" hidden="1" x14ac:dyDescent="0.25"/>
    <row r="866" hidden="1" x14ac:dyDescent="0.25"/>
    <row r="867" hidden="1" x14ac:dyDescent="0.25"/>
    <row r="868" hidden="1" x14ac:dyDescent="0.25"/>
    <row r="869" hidden="1" x14ac:dyDescent="0.25"/>
    <row r="870" hidden="1" x14ac:dyDescent="0.25"/>
    <row r="871" hidden="1" x14ac:dyDescent="0.25"/>
    <row r="872" hidden="1" x14ac:dyDescent="0.25"/>
    <row r="873" hidden="1" x14ac:dyDescent="0.25"/>
    <row r="874" hidden="1" x14ac:dyDescent="0.25"/>
    <row r="875" hidden="1" x14ac:dyDescent="0.25"/>
    <row r="876" hidden="1" x14ac:dyDescent="0.25"/>
    <row r="877" hidden="1" x14ac:dyDescent="0.25"/>
    <row r="878" hidden="1" x14ac:dyDescent="0.25"/>
    <row r="879" hidden="1" x14ac:dyDescent="0.25"/>
    <row r="880" hidden="1" x14ac:dyDescent="0.25"/>
    <row r="881" hidden="1" x14ac:dyDescent="0.25"/>
    <row r="882" hidden="1" x14ac:dyDescent="0.25"/>
    <row r="883" hidden="1" x14ac:dyDescent="0.25"/>
    <row r="884" hidden="1" x14ac:dyDescent="0.25"/>
    <row r="885" hidden="1" x14ac:dyDescent="0.25"/>
    <row r="886" hidden="1" x14ac:dyDescent="0.25"/>
    <row r="887" hidden="1" x14ac:dyDescent="0.25"/>
    <row r="888" hidden="1" x14ac:dyDescent="0.25"/>
    <row r="889" hidden="1" x14ac:dyDescent="0.25"/>
    <row r="890" hidden="1" x14ac:dyDescent="0.25"/>
    <row r="891" hidden="1" x14ac:dyDescent="0.25"/>
    <row r="892" hidden="1" x14ac:dyDescent="0.25"/>
    <row r="893" hidden="1" x14ac:dyDescent="0.25"/>
    <row r="894" hidden="1" x14ac:dyDescent="0.25"/>
    <row r="895" hidden="1" x14ac:dyDescent="0.25"/>
    <row r="896" hidden="1" x14ac:dyDescent="0.25"/>
    <row r="897" hidden="1" x14ac:dyDescent="0.25"/>
    <row r="898" hidden="1" x14ac:dyDescent="0.25"/>
    <row r="899" hidden="1" x14ac:dyDescent="0.25"/>
    <row r="900" hidden="1" x14ac:dyDescent="0.25"/>
    <row r="901" hidden="1" x14ac:dyDescent="0.25"/>
    <row r="902" hidden="1" x14ac:dyDescent="0.25"/>
    <row r="903" hidden="1" x14ac:dyDescent="0.25"/>
    <row r="904" hidden="1" x14ac:dyDescent="0.25"/>
    <row r="905" hidden="1" x14ac:dyDescent="0.25"/>
    <row r="906" hidden="1" x14ac:dyDescent="0.25"/>
    <row r="907" hidden="1" x14ac:dyDescent="0.25"/>
    <row r="908" hidden="1" x14ac:dyDescent="0.25"/>
    <row r="909" hidden="1" x14ac:dyDescent="0.25"/>
    <row r="910" hidden="1" x14ac:dyDescent="0.25"/>
    <row r="911" hidden="1" x14ac:dyDescent="0.25"/>
    <row r="912" hidden="1" x14ac:dyDescent="0.25"/>
    <row r="913" hidden="1" x14ac:dyDescent="0.25"/>
    <row r="914" hidden="1" x14ac:dyDescent="0.25"/>
    <row r="915" hidden="1" x14ac:dyDescent="0.25"/>
    <row r="916" hidden="1" x14ac:dyDescent="0.25"/>
    <row r="917" hidden="1" x14ac:dyDescent="0.25"/>
    <row r="918" hidden="1" x14ac:dyDescent="0.25"/>
    <row r="919" hidden="1" x14ac:dyDescent="0.25"/>
    <row r="920" hidden="1" x14ac:dyDescent="0.25"/>
    <row r="921" hidden="1" x14ac:dyDescent="0.25"/>
    <row r="922" hidden="1" x14ac:dyDescent="0.25"/>
    <row r="923" hidden="1" x14ac:dyDescent="0.25"/>
    <row r="924" hidden="1" x14ac:dyDescent="0.25"/>
    <row r="925" hidden="1" x14ac:dyDescent="0.25"/>
    <row r="926" hidden="1" x14ac:dyDescent="0.25"/>
    <row r="927" hidden="1" x14ac:dyDescent="0.25"/>
    <row r="928" hidden="1" x14ac:dyDescent="0.25"/>
    <row r="929" hidden="1" x14ac:dyDescent="0.25"/>
    <row r="930" hidden="1" x14ac:dyDescent="0.25"/>
    <row r="931" hidden="1" x14ac:dyDescent="0.25"/>
    <row r="932" hidden="1" x14ac:dyDescent="0.25"/>
    <row r="933" hidden="1" x14ac:dyDescent="0.25"/>
    <row r="934" hidden="1" x14ac:dyDescent="0.25"/>
    <row r="935" hidden="1" x14ac:dyDescent="0.25"/>
    <row r="936" hidden="1" x14ac:dyDescent="0.25"/>
    <row r="937" hidden="1" x14ac:dyDescent="0.25"/>
    <row r="938" hidden="1" x14ac:dyDescent="0.25"/>
    <row r="939" hidden="1" x14ac:dyDescent="0.25"/>
    <row r="940" hidden="1" x14ac:dyDescent="0.25"/>
    <row r="941" hidden="1" x14ac:dyDescent="0.25"/>
    <row r="942" hidden="1" x14ac:dyDescent="0.25"/>
    <row r="943" hidden="1" x14ac:dyDescent="0.25"/>
    <row r="944" hidden="1" x14ac:dyDescent="0.25"/>
    <row r="945" hidden="1" x14ac:dyDescent="0.25"/>
    <row r="946" hidden="1" x14ac:dyDescent="0.25"/>
    <row r="947" hidden="1" x14ac:dyDescent="0.25"/>
    <row r="948" hidden="1" x14ac:dyDescent="0.25"/>
    <row r="949" hidden="1" x14ac:dyDescent="0.25"/>
    <row r="950" hidden="1" x14ac:dyDescent="0.25"/>
    <row r="951" hidden="1" x14ac:dyDescent="0.25"/>
    <row r="952" hidden="1" x14ac:dyDescent="0.25"/>
    <row r="953" hidden="1" x14ac:dyDescent="0.25"/>
    <row r="954" hidden="1" x14ac:dyDescent="0.25"/>
    <row r="955" hidden="1" x14ac:dyDescent="0.25"/>
    <row r="956" hidden="1" x14ac:dyDescent="0.25"/>
    <row r="957" hidden="1" x14ac:dyDescent="0.25"/>
    <row r="958" hidden="1" x14ac:dyDescent="0.25"/>
    <row r="959" hidden="1" x14ac:dyDescent="0.25"/>
    <row r="960" hidden="1" x14ac:dyDescent="0.25"/>
    <row r="961" hidden="1" x14ac:dyDescent="0.25"/>
    <row r="962" hidden="1" x14ac:dyDescent="0.25"/>
    <row r="963" hidden="1" x14ac:dyDescent="0.25"/>
    <row r="964" hidden="1" x14ac:dyDescent="0.25"/>
    <row r="965" hidden="1" x14ac:dyDescent="0.25"/>
    <row r="966" hidden="1" x14ac:dyDescent="0.25"/>
    <row r="967" hidden="1" x14ac:dyDescent="0.25"/>
    <row r="968" hidden="1" x14ac:dyDescent="0.25"/>
    <row r="969" hidden="1" x14ac:dyDescent="0.25"/>
    <row r="970" hidden="1" x14ac:dyDescent="0.25"/>
    <row r="971" hidden="1" x14ac:dyDescent="0.25"/>
    <row r="972" hidden="1" x14ac:dyDescent="0.25"/>
    <row r="973" hidden="1" x14ac:dyDescent="0.25"/>
    <row r="974" hidden="1" x14ac:dyDescent="0.25"/>
    <row r="975" hidden="1" x14ac:dyDescent="0.25"/>
    <row r="976" hidden="1" x14ac:dyDescent="0.25"/>
    <row r="977" hidden="1" x14ac:dyDescent="0.25"/>
    <row r="978" hidden="1" x14ac:dyDescent="0.25"/>
    <row r="979" hidden="1" x14ac:dyDescent="0.25"/>
    <row r="980" hidden="1" x14ac:dyDescent="0.25"/>
    <row r="981" hidden="1" x14ac:dyDescent="0.25"/>
    <row r="982" hidden="1" x14ac:dyDescent="0.25"/>
    <row r="983" hidden="1" x14ac:dyDescent="0.25"/>
    <row r="984" hidden="1" x14ac:dyDescent="0.25"/>
    <row r="985" hidden="1" x14ac:dyDescent="0.25"/>
    <row r="986" hidden="1" x14ac:dyDescent="0.25"/>
    <row r="987" hidden="1" x14ac:dyDescent="0.25"/>
    <row r="988" hidden="1" x14ac:dyDescent="0.25"/>
    <row r="989" hidden="1" x14ac:dyDescent="0.25"/>
    <row r="990" hidden="1" x14ac:dyDescent="0.25"/>
    <row r="991" hidden="1" x14ac:dyDescent="0.25"/>
    <row r="992" hidden="1" x14ac:dyDescent="0.25"/>
    <row r="993" hidden="1" x14ac:dyDescent="0.25"/>
    <row r="994" hidden="1" x14ac:dyDescent="0.25"/>
    <row r="995" hidden="1" x14ac:dyDescent="0.25"/>
    <row r="996" hidden="1" x14ac:dyDescent="0.25"/>
    <row r="997" hidden="1" x14ac:dyDescent="0.25"/>
    <row r="998" hidden="1" x14ac:dyDescent="0.25"/>
    <row r="999" hidden="1" x14ac:dyDescent="0.25"/>
    <row r="1000" hidden="1" x14ac:dyDescent="0.25"/>
  </sheetData>
  <autoFilter ref="A4:BA50" xr:uid="{2CDB739F-4F80-4E03-B02B-77EC2CB65EA0}">
    <filterColumn colId="3" showButton="0"/>
    <filterColumn colId="4" showButton="0"/>
    <filterColumn colId="5" showButton="0"/>
    <filterColumn colId="6" showButton="0"/>
    <filterColumn colId="7" showButton="0"/>
    <filterColumn colId="8" showButton="0"/>
    <filterColumn colId="9" showButton="0"/>
    <filterColumn colId="10" showButton="0"/>
    <filterColumn colId="11" showButton="0"/>
    <filterColumn colId="12" showButton="0"/>
    <filterColumn colId="13" showButton="0"/>
    <filterColumn colId="14" showButton="0"/>
    <filterColumn colId="15" showButton="0"/>
    <filterColumn colId="16" showButton="0"/>
    <filterColumn colId="17" showButton="0"/>
    <filterColumn colId="18" showButton="0"/>
    <filterColumn colId="19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</autoFilter>
  <mergeCells count="44">
    <mergeCell ref="A1:BA1"/>
    <mergeCell ref="A2:B2"/>
    <mergeCell ref="M5:U5"/>
    <mergeCell ref="U6:U7"/>
    <mergeCell ref="V5:AD5"/>
    <mergeCell ref="AD6:AD7"/>
    <mergeCell ref="A4:A8"/>
    <mergeCell ref="C4:C8"/>
    <mergeCell ref="B4:B8"/>
    <mergeCell ref="AS4:AY4"/>
    <mergeCell ref="J6:K6"/>
    <mergeCell ref="M6:N6"/>
    <mergeCell ref="O6:P6"/>
    <mergeCell ref="Q6:R6"/>
    <mergeCell ref="BA4:BA7"/>
    <mergeCell ref="L6:L7"/>
    <mergeCell ref="D5:L5"/>
    <mergeCell ref="D4:U4"/>
    <mergeCell ref="D6:E6"/>
    <mergeCell ref="F6:G6"/>
    <mergeCell ref="H6:I6"/>
    <mergeCell ref="AE4:AK4"/>
    <mergeCell ref="AZ4:AZ7"/>
    <mergeCell ref="S6:T6"/>
    <mergeCell ref="V6:W6"/>
    <mergeCell ref="X6:Y6"/>
    <mergeCell ref="Z6:AA6"/>
    <mergeCell ref="AB6:AC6"/>
    <mergeCell ref="AW6:AX6"/>
    <mergeCell ref="AW5:AX5"/>
    <mergeCell ref="AE5:AF6"/>
    <mergeCell ref="AG5:AH6"/>
    <mergeCell ref="AI5:AJ6"/>
    <mergeCell ref="AL4:AR4"/>
    <mergeCell ref="V4:AD4"/>
    <mergeCell ref="AS6:AT6"/>
    <mergeCell ref="AS5:AT5"/>
    <mergeCell ref="AU6:AV6"/>
    <mergeCell ref="AU5:AV5"/>
    <mergeCell ref="AK5:AK6"/>
    <mergeCell ref="AL5:AM6"/>
    <mergeCell ref="AN5:AO6"/>
    <mergeCell ref="AP5:AQ6"/>
    <mergeCell ref="AR5:AR6"/>
  </mergeCells>
  <conditionalFormatting sqref="E9:E50">
    <cfRule type="cellIs" dxfId="152" priority="346" operator="lessThan">
      <formula>0.5</formula>
    </cfRule>
    <cfRule type="cellIs" dxfId="151" priority="347" operator="greaterThanOrEqual">
      <formula>0.5</formula>
    </cfRule>
  </conditionalFormatting>
  <conditionalFormatting sqref="E9:E50">
    <cfRule type="cellIs" dxfId="150" priority="344" operator="equal">
      <formula>"NA"</formula>
    </cfRule>
  </conditionalFormatting>
  <conditionalFormatting sqref="G9:G50">
    <cfRule type="cellIs" dxfId="149" priority="341" operator="equal">
      <formula>"NA"</formula>
    </cfRule>
    <cfRule type="cellIs" dxfId="148" priority="342" operator="lessThan">
      <formula>0.5</formula>
    </cfRule>
    <cfRule type="cellIs" dxfId="147" priority="343" operator="greaterThanOrEqual">
      <formula>0.5</formula>
    </cfRule>
  </conditionalFormatting>
  <conditionalFormatting sqref="I9:I50">
    <cfRule type="cellIs" dxfId="146" priority="338" operator="equal">
      <formula>"NA"</formula>
    </cfRule>
    <cfRule type="cellIs" dxfId="145" priority="339" operator="lessThan">
      <formula>0.5</formula>
    </cfRule>
    <cfRule type="cellIs" dxfId="144" priority="340" operator="greaterThanOrEqual">
      <formula>0.5</formula>
    </cfRule>
  </conditionalFormatting>
  <conditionalFormatting sqref="K9:K50">
    <cfRule type="cellIs" dxfId="143" priority="335" operator="equal">
      <formula>"NA"</formula>
    </cfRule>
    <cfRule type="cellIs" dxfId="142" priority="336" operator="lessThan">
      <formula>0.5</formula>
    </cfRule>
    <cfRule type="cellIs" dxfId="141" priority="337" operator="greaterThanOrEqual">
      <formula>0.5</formula>
    </cfRule>
  </conditionalFormatting>
  <conditionalFormatting sqref="N9:N50">
    <cfRule type="cellIs" dxfId="140" priority="332" operator="equal">
      <formula>"NA"</formula>
    </cfRule>
    <cfRule type="cellIs" dxfId="139" priority="333" operator="lessThan">
      <formula>0.5</formula>
    </cfRule>
    <cfRule type="cellIs" dxfId="138" priority="334" operator="greaterThanOrEqual">
      <formula>0.5</formula>
    </cfRule>
  </conditionalFormatting>
  <conditionalFormatting sqref="P9:P50">
    <cfRule type="cellIs" dxfId="137" priority="329" operator="equal">
      <formula>"NA"</formula>
    </cfRule>
    <cfRule type="cellIs" dxfId="136" priority="330" operator="lessThan">
      <formula>0.5</formula>
    </cfRule>
    <cfRule type="cellIs" dxfId="135" priority="331" operator="greaterThanOrEqual">
      <formula>0.5</formula>
    </cfRule>
  </conditionalFormatting>
  <conditionalFormatting sqref="R9:R50">
    <cfRule type="cellIs" dxfId="134" priority="326" operator="equal">
      <formula>"NA"</formula>
    </cfRule>
    <cfRule type="cellIs" dxfId="133" priority="327" operator="lessThan">
      <formula>0.5</formula>
    </cfRule>
    <cfRule type="cellIs" dxfId="132" priority="328" operator="greaterThanOrEqual">
      <formula>0.5</formula>
    </cfRule>
  </conditionalFormatting>
  <conditionalFormatting sqref="T9:T50">
    <cfRule type="cellIs" dxfId="131" priority="323" operator="equal">
      <formula>"NA"</formula>
    </cfRule>
    <cfRule type="cellIs" dxfId="130" priority="324" operator="lessThan">
      <formula>0.5</formula>
    </cfRule>
    <cfRule type="cellIs" dxfId="129" priority="325" operator="greaterThanOrEqual">
      <formula>0.5</formula>
    </cfRule>
  </conditionalFormatting>
  <conditionalFormatting sqref="W9:W50">
    <cfRule type="cellIs" dxfId="128" priority="320" operator="equal">
      <formula>"NA"</formula>
    </cfRule>
    <cfRule type="cellIs" dxfId="127" priority="321" operator="lessThan">
      <formula>0.5</formula>
    </cfRule>
    <cfRule type="cellIs" dxfId="126" priority="322" operator="greaterThanOrEqual">
      <formula>0.5</formula>
    </cfRule>
  </conditionalFormatting>
  <conditionalFormatting sqref="Y9:Y50">
    <cfRule type="cellIs" dxfId="125" priority="317" operator="equal">
      <formula>"NA"</formula>
    </cfRule>
    <cfRule type="cellIs" dxfId="124" priority="318" operator="lessThan">
      <formula>0.5</formula>
    </cfRule>
    <cfRule type="cellIs" dxfId="123" priority="319" operator="greaterThanOrEqual">
      <formula>0.5</formula>
    </cfRule>
  </conditionalFormatting>
  <conditionalFormatting sqref="AA9:AA50">
    <cfRule type="cellIs" dxfId="122" priority="314" operator="equal">
      <formula>"NA"</formula>
    </cfRule>
    <cfRule type="cellIs" dxfId="121" priority="315" operator="lessThan">
      <formula>0.5</formula>
    </cfRule>
    <cfRule type="cellIs" dxfId="120" priority="316" operator="greaterThanOrEqual">
      <formula>0.5</formula>
    </cfRule>
  </conditionalFormatting>
  <conditionalFormatting sqref="AC9:AC50">
    <cfRule type="cellIs" dxfId="119" priority="311" operator="equal">
      <formula>"NA"</formula>
    </cfRule>
    <cfRule type="cellIs" dxfId="118" priority="312" operator="lessThan">
      <formula>0.5</formula>
    </cfRule>
    <cfRule type="cellIs" dxfId="117" priority="313" operator="greaterThanOrEqual">
      <formula>0.5</formula>
    </cfRule>
  </conditionalFormatting>
  <conditionalFormatting sqref="AF9:AF50">
    <cfRule type="cellIs" dxfId="116" priority="308" operator="equal">
      <formula>"NA"</formula>
    </cfRule>
    <cfRule type="cellIs" dxfId="115" priority="309" operator="lessThan">
      <formula>0.5</formula>
    </cfRule>
    <cfRule type="cellIs" dxfId="114" priority="310" operator="greaterThanOrEqual">
      <formula>0.5</formula>
    </cfRule>
  </conditionalFormatting>
  <conditionalFormatting sqref="AH9:AH50">
    <cfRule type="cellIs" dxfId="113" priority="305" operator="equal">
      <formula>"NA"</formula>
    </cfRule>
    <cfRule type="cellIs" dxfId="112" priority="306" operator="lessThan">
      <formula>0.5</formula>
    </cfRule>
    <cfRule type="cellIs" dxfId="111" priority="307" operator="greaterThanOrEqual">
      <formula>0.5</formula>
    </cfRule>
  </conditionalFormatting>
  <conditionalFormatting sqref="AJ9:AJ50">
    <cfRule type="cellIs" dxfId="110" priority="302" operator="equal">
      <formula>"NA"</formula>
    </cfRule>
    <cfRule type="cellIs" dxfId="109" priority="303" operator="lessThan">
      <formula>0.5</formula>
    </cfRule>
    <cfRule type="cellIs" dxfId="108" priority="304" operator="greaterThanOrEqual">
      <formula>0.5</formula>
    </cfRule>
  </conditionalFormatting>
  <conditionalFormatting sqref="AT9:AT50">
    <cfRule type="cellIs" dxfId="107" priority="299" operator="equal">
      <formula>"NA"</formula>
    </cfRule>
    <cfRule type="cellIs" dxfId="106" priority="300" operator="lessThan">
      <formula>0.5</formula>
    </cfRule>
    <cfRule type="cellIs" dxfId="105" priority="301" operator="greaterThanOrEqual">
      <formula>0.5</formula>
    </cfRule>
  </conditionalFormatting>
  <conditionalFormatting sqref="AV9:AV50">
    <cfRule type="cellIs" dxfId="104" priority="296" operator="equal">
      <formula>"NA"</formula>
    </cfRule>
    <cfRule type="cellIs" dxfId="103" priority="297" operator="lessThan">
      <formula>0.5</formula>
    </cfRule>
    <cfRule type="cellIs" dxfId="102" priority="298" operator="greaterThanOrEqual">
      <formula>0.5</formula>
    </cfRule>
  </conditionalFormatting>
  <conditionalFormatting sqref="AX9:AX50">
    <cfRule type="cellIs" dxfId="101" priority="293" operator="equal">
      <formula>"NA"</formula>
    </cfRule>
    <cfRule type="cellIs" dxfId="100" priority="294" operator="lessThan">
      <formula>0.5</formula>
    </cfRule>
    <cfRule type="cellIs" dxfId="99" priority="295" operator="greaterThanOrEqual">
      <formula>0.5</formula>
    </cfRule>
  </conditionalFormatting>
  <conditionalFormatting sqref="J7">
    <cfRule type="cellIs" dxfId="98" priority="292" operator="equal">
      <formula>0</formula>
    </cfRule>
  </conditionalFormatting>
  <conditionalFormatting sqref="J6:K6 AE5 AG5 AI5">
    <cfRule type="expression" dxfId="97" priority="290">
      <formula>IF(J7=0,1,0)</formula>
    </cfRule>
  </conditionalFormatting>
  <conditionalFormatting sqref="K7">
    <cfRule type="expression" dxfId="96" priority="289">
      <formula>IF(J8=0,1,0)</formula>
    </cfRule>
  </conditionalFormatting>
  <conditionalFormatting sqref="J8">
    <cfRule type="expression" dxfId="95" priority="288">
      <formula>IF(J8=0,1,0)</formula>
    </cfRule>
  </conditionalFormatting>
  <conditionalFormatting sqref="K8">
    <cfRule type="expression" dxfId="94" priority="287">
      <formula>IF(J8=0,1,0)</formula>
    </cfRule>
  </conditionalFormatting>
  <conditionalFormatting sqref="D7">
    <cfRule type="cellIs" dxfId="93" priority="286" operator="equal">
      <formula>0</formula>
    </cfRule>
  </conditionalFormatting>
  <conditionalFormatting sqref="D8">
    <cfRule type="expression" dxfId="92" priority="285">
      <formula>IF(D7=0,1,0)</formula>
    </cfRule>
  </conditionalFormatting>
  <conditionalFormatting sqref="E7">
    <cfRule type="expression" dxfId="91" priority="284">
      <formula>IF(D7=0,1,0)</formula>
    </cfRule>
  </conditionalFormatting>
  <conditionalFormatting sqref="E8">
    <cfRule type="expression" dxfId="90" priority="283">
      <formula>IF(D7=0,1,0)</formula>
    </cfRule>
  </conditionalFormatting>
  <conditionalFormatting sqref="D6:E6">
    <cfRule type="expression" dxfId="89" priority="282">
      <formula>IF(D7=0,1,0)</formula>
    </cfRule>
  </conditionalFormatting>
  <conditionalFormatting sqref="F6:G6">
    <cfRule type="expression" dxfId="88" priority="280">
      <formula>IF(F7=0,1,0)</formula>
    </cfRule>
  </conditionalFormatting>
  <conditionalFormatting sqref="G7">
    <cfRule type="expression" dxfId="87" priority="279">
      <formula>IF(F7=0,1,0)</formula>
    </cfRule>
  </conditionalFormatting>
  <conditionalFormatting sqref="F8">
    <cfRule type="expression" dxfId="86" priority="278">
      <formula>IF(F7=0,1,0)</formula>
    </cfRule>
  </conditionalFormatting>
  <conditionalFormatting sqref="G8">
    <cfRule type="expression" dxfId="85" priority="277">
      <formula>IF(F7=0,1,0)</formula>
    </cfRule>
  </conditionalFormatting>
  <conditionalFormatting sqref="F7">
    <cfRule type="expression" dxfId="84" priority="276">
      <formula>IF(F7=0,1,0)</formula>
    </cfRule>
  </conditionalFormatting>
  <conditionalFormatting sqref="M7">
    <cfRule type="cellIs" dxfId="83" priority="275" operator="equal">
      <formula>0</formula>
    </cfRule>
  </conditionalFormatting>
  <conditionalFormatting sqref="M6:N6">
    <cfRule type="expression" dxfId="82" priority="270">
      <formula>IF(M7=0,1,0)</formula>
    </cfRule>
  </conditionalFormatting>
  <conditionalFormatting sqref="N7">
    <cfRule type="expression" dxfId="81" priority="269">
      <formula>IF(M7=0,1,0)</formula>
    </cfRule>
  </conditionalFormatting>
  <conditionalFormatting sqref="M8">
    <cfRule type="expression" dxfId="80" priority="268">
      <formula>IF(M7=0,1,0)</formula>
    </cfRule>
  </conditionalFormatting>
  <conditionalFormatting sqref="N8">
    <cfRule type="expression" dxfId="79" priority="267">
      <formula>IF(M7=0,1,0)</formula>
    </cfRule>
  </conditionalFormatting>
  <conditionalFormatting sqref="O7">
    <cfRule type="cellIs" dxfId="78" priority="266" operator="equal">
      <formula>0</formula>
    </cfRule>
  </conditionalFormatting>
  <conditionalFormatting sqref="O6:P6">
    <cfRule type="expression" dxfId="77" priority="265">
      <formula>IF(O7=0,1,0)</formula>
    </cfRule>
  </conditionalFormatting>
  <conditionalFormatting sqref="P7">
    <cfRule type="expression" dxfId="76" priority="264">
      <formula>IF(O7=0,1,0)</formula>
    </cfRule>
  </conditionalFormatting>
  <conditionalFormatting sqref="O8">
    <cfRule type="expression" dxfId="75" priority="263">
      <formula>IF(O7=0,1,0)</formula>
    </cfRule>
  </conditionalFormatting>
  <conditionalFormatting sqref="P8">
    <cfRule type="expression" dxfId="74" priority="262">
      <formula>IF(O7=0,1,0)</formula>
    </cfRule>
  </conditionalFormatting>
  <conditionalFormatting sqref="Q7">
    <cfRule type="cellIs" dxfId="73" priority="261" operator="equal">
      <formula>0</formula>
    </cfRule>
  </conditionalFormatting>
  <conditionalFormatting sqref="Q6:R6">
    <cfRule type="expression" dxfId="72" priority="260">
      <formula>IF(Q7=0,1,0)</formula>
    </cfRule>
  </conditionalFormatting>
  <conditionalFormatting sqref="R7">
    <cfRule type="expression" dxfId="71" priority="257">
      <formula>IF(Q7=0,1,0)</formula>
    </cfRule>
  </conditionalFormatting>
  <conditionalFormatting sqref="Q8">
    <cfRule type="expression" dxfId="70" priority="256">
      <formula>IF(Q7=0,1,0)</formula>
    </cfRule>
  </conditionalFormatting>
  <conditionalFormatting sqref="R8">
    <cfRule type="expression" dxfId="69" priority="255">
      <formula>IF(Q7=0,1,0)</formula>
    </cfRule>
  </conditionalFormatting>
  <conditionalFormatting sqref="S7">
    <cfRule type="cellIs" dxfId="68" priority="254" operator="equal">
      <formula>0</formula>
    </cfRule>
  </conditionalFormatting>
  <conditionalFormatting sqref="S6:T6">
    <cfRule type="expression" dxfId="67" priority="253">
      <formula>IF(S7=0,1,0)</formula>
    </cfRule>
  </conditionalFormatting>
  <conditionalFormatting sqref="T7">
    <cfRule type="expression" dxfId="66" priority="252">
      <formula>IF(S7=0,1,0)</formula>
    </cfRule>
  </conditionalFormatting>
  <conditionalFormatting sqref="S8">
    <cfRule type="expression" dxfId="65" priority="251">
      <formula>IF(S7=0,1,0)</formula>
    </cfRule>
  </conditionalFormatting>
  <conditionalFormatting sqref="T8">
    <cfRule type="expression" dxfId="64" priority="250">
      <formula>IF(S7=0,1,0)</formula>
    </cfRule>
  </conditionalFormatting>
  <conditionalFormatting sqref="H7">
    <cfRule type="cellIs" dxfId="63" priority="249" operator="equal">
      <formula>0</formula>
    </cfRule>
  </conditionalFormatting>
  <conditionalFormatting sqref="H6:I6">
    <cfRule type="expression" dxfId="62" priority="248">
      <formula>IF(H7=0,1,0)</formula>
    </cfRule>
  </conditionalFormatting>
  <conditionalFormatting sqref="I7">
    <cfRule type="expression" dxfId="61" priority="247">
      <formula>IF(H7=0,1,0)</formula>
    </cfRule>
  </conditionalFormatting>
  <conditionalFormatting sqref="I8">
    <cfRule type="expression" dxfId="60" priority="246">
      <formula>IF(H7=0,1,0)</formula>
    </cfRule>
  </conditionalFormatting>
  <conditionalFormatting sqref="V7">
    <cfRule type="cellIs" dxfId="59" priority="245" operator="equal">
      <formula>0</formula>
    </cfRule>
  </conditionalFormatting>
  <conditionalFormatting sqref="V6:W6">
    <cfRule type="expression" dxfId="58" priority="244">
      <formula>IF(V7=0,1,0)</formula>
    </cfRule>
  </conditionalFormatting>
  <conditionalFormatting sqref="W7">
    <cfRule type="expression" dxfId="57" priority="243">
      <formula>IF(V7=0,1,0)</formula>
    </cfRule>
  </conditionalFormatting>
  <conditionalFormatting sqref="V8">
    <cfRule type="expression" dxfId="56" priority="242">
      <formula>IF(V7=0,1,0)</formula>
    </cfRule>
  </conditionalFormatting>
  <conditionalFormatting sqref="W8">
    <cfRule type="expression" dxfId="55" priority="241">
      <formula>IF(V7=0,1,0)</formula>
    </cfRule>
  </conditionalFormatting>
  <conditionalFormatting sqref="X7">
    <cfRule type="cellIs" dxfId="54" priority="240" operator="equal">
      <formula>0</formula>
    </cfRule>
  </conditionalFormatting>
  <conditionalFormatting sqref="X6:Y6">
    <cfRule type="expression" dxfId="53" priority="239">
      <formula>IF(X7=0,1,0)</formula>
    </cfRule>
  </conditionalFormatting>
  <conditionalFormatting sqref="Y7">
    <cfRule type="expression" dxfId="52" priority="238">
      <formula>IF(X7=0,1,0)</formula>
    </cfRule>
  </conditionalFormatting>
  <conditionalFormatting sqref="X8">
    <cfRule type="expression" dxfId="51" priority="237">
      <formula>IF(X7=0,1,0)</formula>
    </cfRule>
  </conditionalFormatting>
  <conditionalFormatting sqref="Y8">
    <cfRule type="expression" dxfId="50" priority="236">
      <formula>IF(X7=0,1,0)</formula>
    </cfRule>
  </conditionalFormatting>
  <conditionalFormatting sqref="Z7">
    <cfRule type="cellIs" dxfId="49" priority="235" operator="equal">
      <formula>0</formula>
    </cfRule>
  </conditionalFormatting>
  <conditionalFormatting sqref="Z6:AA6">
    <cfRule type="expression" dxfId="48" priority="234">
      <formula>IF(Z7=0,1,0)</formula>
    </cfRule>
  </conditionalFormatting>
  <conditionalFormatting sqref="AA7">
    <cfRule type="expression" dxfId="47" priority="233">
      <formula>IF(Z7=0,1,0)</formula>
    </cfRule>
  </conditionalFormatting>
  <conditionalFormatting sqref="Z8">
    <cfRule type="expression" dxfId="46" priority="232">
      <formula>IF(Z7=0,1,0)</formula>
    </cfRule>
  </conditionalFormatting>
  <conditionalFormatting sqref="AA8">
    <cfRule type="expression" dxfId="45" priority="231">
      <formula>IF(Z7=0,1,0)</formula>
    </cfRule>
  </conditionalFormatting>
  <conditionalFormatting sqref="AB7">
    <cfRule type="cellIs" dxfId="44" priority="230" operator="equal">
      <formula>0</formula>
    </cfRule>
  </conditionalFormatting>
  <conditionalFormatting sqref="AB6:AC6">
    <cfRule type="expression" dxfId="43" priority="229">
      <formula>IF(AB7=0,1,0)</formula>
    </cfRule>
  </conditionalFormatting>
  <conditionalFormatting sqref="AC7">
    <cfRule type="expression" dxfId="42" priority="228">
      <formula>IF(AB7=0,1,0)</formula>
    </cfRule>
  </conditionalFormatting>
  <conditionalFormatting sqref="AB8">
    <cfRule type="expression" dxfId="41" priority="227">
      <formula>IF(AB7=0,1,0)</formula>
    </cfRule>
  </conditionalFormatting>
  <conditionalFormatting sqref="AC8">
    <cfRule type="expression" dxfId="40" priority="226">
      <formula>IF(AB7=0,1,0)</formula>
    </cfRule>
  </conditionalFormatting>
  <conditionalFormatting sqref="AE7">
    <cfRule type="cellIs" dxfId="39" priority="225" operator="equal">
      <formula>0</formula>
    </cfRule>
  </conditionalFormatting>
  <conditionalFormatting sqref="AF7">
    <cfRule type="expression" dxfId="38" priority="223">
      <formula>IF(AE7=0,1,0)</formula>
    </cfRule>
  </conditionalFormatting>
  <conditionalFormatting sqref="AE8">
    <cfRule type="expression" dxfId="37" priority="222">
      <formula>IF(AE7=0,1,0)</formula>
    </cfRule>
  </conditionalFormatting>
  <conditionalFormatting sqref="AF8">
    <cfRule type="expression" dxfId="36" priority="221">
      <formula>IF(AE7=0,1,0)</formula>
    </cfRule>
  </conditionalFormatting>
  <conditionalFormatting sqref="AG7">
    <cfRule type="cellIs" dxfId="35" priority="220" operator="equal">
      <formula>0</formula>
    </cfRule>
  </conditionalFormatting>
  <conditionalFormatting sqref="AH7">
    <cfRule type="expression" dxfId="34" priority="218">
      <formula>IF(AG7=0,1,0)</formula>
    </cfRule>
  </conditionalFormatting>
  <conditionalFormatting sqref="AG8">
    <cfRule type="expression" dxfId="33" priority="217">
      <formula>IF(AG7=0,1,0)</formula>
    </cfRule>
  </conditionalFormatting>
  <conditionalFormatting sqref="AH8">
    <cfRule type="expression" dxfId="32" priority="216">
      <formula>IF(AG7=0,1,0)</formula>
    </cfRule>
  </conditionalFormatting>
  <conditionalFormatting sqref="AI7">
    <cfRule type="cellIs" dxfId="31" priority="215" operator="equal">
      <formula>0</formula>
    </cfRule>
  </conditionalFormatting>
  <conditionalFormatting sqref="AJ7">
    <cfRule type="expression" dxfId="30" priority="213">
      <formula>IF(AI7=0,1,0)</formula>
    </cfRule>
  </conditionalFormatting>
  <conditionalFormatting sqref="AI8">
    <cfRule type="expression" dxfId="29" priority="212">
      <formula>IF(AI7=0,1,0)</formula>
    </cfRule>
  </conditionalFormatting>
  <conditionalFormatting sqref="AJ8">
    <cfRule type="expression" dxfId="28" priority="211">
      <formula>IF(AI7=0,1,0)</formula>
    </cfRule>
  </conditionalFormatting>
  <conditionalFormatting sqref="AS7">
    <cfRule type="cellIs" dxfId="27" priority="210" operator="equal">
      <formula>0</formula>
    </cfRule>
  </conditionalFormatting>
  <conditionalFormatting sqref="AS6:AT6">
    <cfRule type="expression" dxfId="26" priority="209">
      <formula>IF(AS7=0,1,0)</formula>
    </cfRule>
  </conditionalFormatting>
  <conditionalFormatting sqref="AT7">
    <cfRule type="expression" dxfId="25" priority="208">
      <formula>IF(AS7=0,1,0)</formula>
    </cfRule>
  </conditionalFormatting>
  <conditionalFormatting sqref="AS8">
    <cfRule type="expression" dxfId="24" priority="207">
      <formula>IF(AS7=0,1,0)</formula>
    </cfRule>
  </conditionalFormatting>
  <conditionalFormatting sqref="AT8">
    <cfRule type="expression" dxfId="23" priority="206">
      <formula>IF(AS7=0,1,0)</formula>
    </cfRule>
  </conditionalFormatting>
  <conditionalFormatting sqref="AU7">
    <cfRule type="cellIs" dxfId="22" priority="205" operator="equal">
      <formula>0</formula>
    </cfRule>
  </conditionalFormatting>
  <conditionalFormatting sqref="AU6:AV6">
    <cfRule type="expression" dxfId="21" priority="204">
      <formula>IF(AU7=0,1,0)</formula>
    </cfRule>
  </conditionalFormatting>
  <conditionalFormatting sqref="AV7">
    <cfRule type="expression" dxfId="20" priority="203">
      <formula>IF(AU7=0,1,0)</formula>
    </cfRule>
  </conditionalFormatting>
  <conditionalFormatting sqref="AU8">
    <cfRule type="expression" dxfId="19" priority="202">
      <formula>IF(AU7=0,1,0)</formula>
    </cfRule>
  </conditionalFormatting>
  <conditionalFormatting sqref="AV8">
    <cfRule type="expression" dxfId="18" priority="201">
      <formula>IF(AU7=0,1,0)</formula>
    </cfRule>
  </conditionalFormatting>
  <conditionalFormatting sqref="AW7">
    <cfRule type="cellIs" dxfId="17" priority="200" operator="equal">
      <formula>0</formula>
    </cfRule>
  </conditionalFormatting>
  <conditionalFormatting sqref="AW6:AX6">
    <cfRule type="expression" dxfId="16" priority="199">
      <formula>IF(AW7=0,1,0)</formula>
    </cfRule>
  </conditionalFormatting>
  <conditionalFormatting sqref="AX7">
    <cfRule type="expression" dxfId="15" priority="198">
      <formula>IF(AW7=0,1,0)</formula>
    </cfRule>
  </conditionalFormatting>
  <conditionalFormatting sqref="AW8">
    <cfRule type="expression" dxfId="14" priority="197">
      <formula>IF(AW7=0,1,0)</formula>
    </cfRule>
  </conditionalFormatting>
  <conditionalFormatting sqref="AX8">
    <cfRule type="expression" dxfId="13" priority="196">
      <formula>IF(AW7=0,1,0)</formula>
    </cfRule>
  </conditionalFormatting>
  <conditionalFormatting sqref="H8">
    <cfRule type="expression" dxfId="12" priority="188">
      <formula>IF(H7=0,1,0)</formula>
    </cfRule>
  </conditionalFormatting>
  <conditionalFormatting sqref="AM9:AM50">
    <cfRule type="cellIs" dxfId="11" priority="157" operator="lessThan">
      <formula>0.5</formula>
    </cfRule>
    <cfRule type="cellIs" dxfId="10" priority="158" operator="equal">
      <formula>"NA"</formula>
    </cfRule>
    <cfRule type="cellIs" dxfId="9" priority="159" operator="greaterThanOrEqual">
      <formula>0.5</formula>
    </cfRule>
  </conditionalFormatting>
  <conditionalFormatting sqref="AO9:AO50">
    <cfRule type="cellIs" dxfId="8" priority="130" operator="lessThan">
      <formula>0.5</formula>
    </cfRule>
    <cfRule type="cellIs" dxfId="7" priority="131" operator="equal">
      <formula>"NA"</formula>
    </cfRule>
    <cfRule type="cellIs" dxfId="6" priority="132" operator="greaterThanOrEqual">
      <formula>0.5</formula>
    </cfRule>
  </conditionalFormatting>
  <conditionalFormatting sqref="AQ9:AQ50">
    <cfRule type="cellIs" dxfId="5" priority="127" operator="lessThan">
      <formula>0.5</formula>
    </cfRule>
    <cfRule type="cellIs" dxfId="4" priority="128" operator="equal">
      <formula>"NA"</formula>
    </cfRule>
    <cfRule type="cellIs" dxfId="3" priority="129" operator="greaterThanOrEqual">
      <formula>0.5</formula>
    </cfRule>
  </conditionalFormatting>
  <dataValidations count="21">
    <dataValidation type="custom" showInputMessage="1" showErrorMessage="1" error="CLO Marks Mismatch, Kindly Check Outline " sqref="D9:D50" xr:uid="{01A76B4D-ABCB-40AA-B91B-6B4D8D94E142}">
      <formula1>AND($D$8&lt;&gt;0,D9&lt;=$D$8)</formula1>
    </dataValidation>
    <dataValidation type="custom" showInputMessage="1" showErrorMessage="1" error="CLO Marks Mismatch, Kindly Check Outline " sqref="F9:F50" xr:uid="{7103B17C-06E5-4AF9-879A-DFAEFE31AB7B}">
      <formula1>AND($F$8&lt;&gt;0,F9&lt;=$F$8)</formula1>
    </dataValidation>
    <dataValidation type="custom" showInputMessage="1" showErrorMessage="1" error="CLO Marks Mismatch, Kindly Check Outline " sqref="H9:H50" xr:uid="{F056A92A-EBEC-4DE0-B645-A41925D10177}">
      <formula1>AND($H$8&lt;&gt;0,H9&lt;=$H$8)</formula1>
    </dataValidation>
    <dataValidation type="custom" showInputMessage="1" showErrorMessage="1" error="CLO Marks Mismatch, Kindly Check Outline " sqref="J9:J50" xr:uid="{1847FBBA-1B8A-4324-9389-30755239CE92}">
      <formula1>AND($J$8&lt;&gt;0,J9&lt;=$J$8)</formula1>
    </dataValidation>
    <dataValidation type="custom" showInputMessage="1" showErrorMessage="1" error="CLO Marks Mismatch, Kindly Check Outline " sqref="M9:M50" xr:uid="{17AC5BBC-2482-476F-A3FB-592F13D09542}">
      <formula1>AND($M$8&lt;&gt;0,M9&lt;=$M$8)</formula1>
    </dataValidation>
    <dataValidation type="custom" showInputMessage="1" showErrorMessage="1" error="CLO Marks Mismatch, Kindly Check Outline " sqref="O9:O50" xr:uid="{8DC80178-955B-4518-8AD9-99E2438524B8}">
      <formula1>AND($O$8&lt;&gt;0,O9&lt;=$O$8)</formula1>
    </dataValidation>
    <dataValidation type="custom" showInputMessage="1" showErrorMessage="1" error="CLO Marks Mismatch, Kindly Check Outline e" sqref="Q9:Q50" xr:uid="{F9914294-1EEB-42FF-B34C-B154020780F9}">
      <formula1>AND($Q$8&lt;&gt;0,Q9&lt;=$Q$8)</formula1>
    </dataValidation>
    <dataValidation type="custom" showInputMessage="1" showErrorMessage="1" error="CLO Marks Mismatch, Kindly Check Outline " sqref="S9:S50" xr:uid="{AB32CEAB-B580-4CDB-BC50-25A6AED87B60}">
      <formula1>AND($S$8&lt;&gt;0,S9&lt;=$S$8)</formula1>
    </dataValidation>
    <dataValidation type="custom" showInputMessage="1" showErrorMessage="1" error="CLO Marks Mismatch, Kindly Check Outline " sqref="V9:V50" xr:uid="{E6BEE317-E0AE-4A66-856E-18EE56A18328}">
      <formula1>AND($V$8&lt;&gt;0,V9&lt;=$V$8)</formula1>
    </dataValidation>
    <dataValidation type="custom" showInputMessage="1" showErrorMessage="1" sqref="X9:X50" xr:uid="{6178D68E-F77C-4499-80F5-1748AE687CA6}">
      <formula1>AND($X$8&lt;&gt;0,X9&lt;=$X$8)</formula1>
    </dataValidation>
    <dataValidation type="custom" showInputMessage="1" showErrorMessage="1" error="CLO Marks Mismatch, Kindly Check Outline " sqref="Z9:Z50" xr:uid="{4AF21F52-156F-4801-B025-84B8C640F364}">
      <formula1>AND($Z$8&lt;&gt;0,Z9&lt;=$Z$8)</formula1>
    </dataValidation>
    <dataValidation type="custom" showInputMessage="1" showErrorMessage="1" error="CLO Marks Mismatch, Kindly Check Outline " sqref="AB9:AB50" xr:uid="{4B21478F-F985-4241-9C98-16DC69D25368}">
      <formula1>AND($AB$8&lt;&gt;0,AB9&lt;=$AB$8)</formula1>
    </dataValidation>
    <dataValidation type="custom" showInputMessage="1" showErrorMessage="1" error="CLO Marks Mismatch, Kindly Check Outline " sqref="AE9:AE50" xr:uid="{BD5F8FE4-8F27-4356-B537-6E044BF97D50}">
      <formula1>AND($AE$8&lt;&gt;0,AE9&lt;=$AE$8)</formula1>
    </dataValidation>
    <dataValidation type="custom" showInputMessage="1" showErrorMessage="1" error="CLO Marks Mismatch, Kindly Check Outline " sqref="AG9:AG50" xr:uid="{138D9D42-0400-4383-8144-8E2FB4094675}">
      <formula1>AND($AG$8&lt;&gt;0,AG9&lt;=$AG$8)</formula1>
    </dataValidation>
    <dataValidation type="custom" showInputMessage="1" showErrorMessage="1" error="CLO Marks Mismatch, Kindly Check Outline " sqref="AI9:AI50" xr:uid="{0221B0C0-E447-40D4-A5C8-159BC8CBF1E4}">
      <formula1>AND($AI$8&lt;&gt;0,AI9&lt;=$AI$8)</formula1>
    </dataValidation>
    <dataValidation type="custom" showInputMessage="1" showErrorMessage="1" error="CLO Marks Mismatch, Kindly Check Outline " sqref="AS9:AS50" xr:uid="{FD228CF8-E045-4816-95D8-501AE492574B}">
      <formula1>AND($AS$8&lt;&gt;0,AS9&lt;=$AS$8)</formula1>
    </dataValidation>
    <dataValidation type="custom" showInputMessage="1" showErrorMessage="1" error="CLO Marks Mismatch, Kindly Check Outline " sqref="AU9:AU50" xr:uid="{B351435F-C7F7-43B9-88C0-E503682A2B07}">
      <formula1>AND($AU$8&lt;&gt;0,AU9&lt;=$AU$8)</formula1>
    </dataValidation>
    <dataValidation type="custom" showInputMessage="1" showErrorMessage="1" error="CLO Marks Mismatch, Kindly Check Outline " sqref="AW9:AW50" xr:uid="{A92FF211-2315-4309-8744-22E7A17E84A7}">
      <formula1>AND($AW$8&lt;&gt;0,AW9&lt;=$AW$8)</formula1>
    </dataValidation>
    <dataValidation type="custom" showInputMessage="1" showErrorMessage="1" error="Lab CLO Midterm Marks Mismatch. Kindly Check Outline" sqref="AL9:AL50" xr:uid="{68A8F68D-DE3B-47A9-9C7B-AAF51A8264DB}">
      <formula1>AND($AL$8&lt;&gt;0,AL9&lt;=$AL$8)</formula1>
    </dataValidation>
    <dataValidation type="custom" showInputMessage="1" showErrorMessage="1" error="CLO Lab Midterm Marks Mismatch. Kindly Check Outline" sqref="AN9:AN50" xr:uid="{A13A7635-703C-42C9-B615-CE71F0335E8A}">
      <formula1>AND($AN$8&lt;&gt;0,AN9&lt;=$AN$8)</formula1>
    </dataValidation>
    <dataValidation type="custom" showInputMessage="1" showErrorMessage="1" error="CLO Lab Midterm Marks Mismatch. Kindly Check Outline" sqref="AP9:AP50" xr:uid="{4E558F7B-4E8B-4E71-975F-93D0BA1FC772}">
      <formula1>AND($AP$8&lt;&gt;0,AP9&lt;=$AP$8)</formula1>
    </dataValidation>
  </dataValidations>
  <printOptions horizontalCentered="1" verticalCentered="1"/>
  <pageMargins left="0.5" right="0.5" top="0.75" bottom="0.75" header="0.3" footer="0.3"/>
  <pageSetup paperSize="5" scale="28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41" id="{F5E660AD-2EEE-49BC-9072-93F2D826050C}">
            <xm:f>IF(AND($AL$8=0,Outline!$C$14&gt;0),1,0)</xm:f>
            <x14:dxf>
              <fill>
                <patternFill>
                  <bgColor theme="1"/>
                </patternFill>
              </fill>
            </x14:dxf>
          </x14:cfRule>
          <xm:sqref>AL5:AM8</xm:sqref>
        </x14:conditionalFormatting>
        <x14:conditionalFormatting xmlns:xm="http://schemas.microsoft.com/office/excel/2006/main">
          <x14:cfRule type="expression" priority="140" id="{DA285DB9-3481-44FD-87D0-3703798BE9FC}">
            <xm:f>IF(AND($AP$8=0, Outline!$C$14&gt;0),1,0)</xm:f>
            <x14:dxf>
              <fill>
                <patternFill>
                  <bgColor theme="1"/>
                </patternFill>
              </fill>
            </x14:dxf>
          </x14:cfRule>
          <xm:sqref>AP5:AQ8</xm:sqref>
        </x14:conditionalFormatting>
        <x14:conditionalFormatting xmlns:xm="http://schemas.microsoft.com/office/excel/2006/main">
          <x14:cfRule type="expression" priority="139" id="{2DB1A298-6395-4378-84E3-F6965422FFE9}">
            <xm:f>IF(AND($AN$8=0,Outline!$C$14&gt;0),1,0)</xm:f>
            <x14:dxf>
              <fill>
                <patternFill>
                  <bgColor theme="1"/>
                </patternFill>
              </fill>
            </x14:dxf>
          </x14:cfRule>
          <xm:sqref>AN5:AO8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tabColor theme="5" tint="-0.249977111117893"/>
  </sheetPr>
  <dimension ref="A1:HD1000"/>
  <sheetViews>
    <sheetView view="pageLayout" topLeftCell="A43" zoomScaleNormal="100" workbookViewId="0">
      <selection activeCell="J120" sqref="J120"/>
    </sheetView>
  </sheetViews>
  <sheetFormatPr defaultColWidth="9" defaultRowHeight="15" x14ac:dyDescent="0.25"/>
  <cols>
    <col min="1" max="1" width="5.42578125" style="72" customWidth="1"/>
    <col min="2" max="2" width="7.140625" style="72" customWidth="1"/>
    <col min="3" max="3" width="15.140625" style="72" customWidth="1"/>
    <col min="4" max="4" width="11.85546875" style="72" customWidth="1"/>
    <col min="5" max="5" width="11.7109375" style="72" customWidth="1"/>
    <col min="6" max="8" width="11.85546875" style="72" customWidth="1"/>
    <col min="9" max="212" width="9.140625" style="72" customWidth="1"/>
  </cols>
  <sheetData>
    <row r="1" spans="1:8" ht="18" customHeight="1" x14ac:dyDescent="0.25">
      <c r="A1" s="278" t="s">
        <v>126</v>
      </c>
      <c r="B1" s="278"/>
      <c r="C1" s="278"/>
      <c r="D1" s="278"/>
      <c r="E1" s="278"/>
      <c r="F1" s="278"/>
      <c r="G1" s="278"/>
      <c r="H1" s="278"/>
    </row>
    <row r="2" spans="1:8" ht="15" customHeight="1" x14ac:dyDescent="0.25">
      <c r="A2" s="279" t="s">
        <v>154</v>
      </c>
      <c r="B2" s="279"/>
      <c r="C2" s="279"/>
      <c r="D2" s="279"/>
      <c r="E2" s="279"/>
      <c r="F2" s="279"/>
      <c r="G2" s="279"/>
      <c r="H2" s="279"/>
    </row>
    <row r="3" spans="1:8" ht="15" customHeight="1" x14ac:dyDescent="0.25">
      <c r="A3" s="280" t="str">
        <f>Outline!A3</f>
        <v>COMPUTER SYSTEMS ENGINEERING AND SCIENCES DEPARTMENT</v>
      </c>
      <c r="B3" s="280"/>
      <c r="C3" s="280"/>
      <c r="D3" s="280"/>
      <c r="E3" s="280"/>
      <c r="F3" s="280"/>
      <c r="G3" s="280"/>
      <c r="H3" s="280"/>
    </row>
    <row r="4" spans="1:8" ht="17.25" customHeight="1" x14ac:dyDescent="0.25">
      <c r="B4" s="281" t="s">
        <v>158</v>
      </c>
      <c r="C4" s="281"/>
      <c r="D4" s="277" t="str">
        <f>Outline!A5</f>
        <v>B.E (CSE) 4thSemester</v>
      </c>
      <c r="E4" s="277"/>
      <c r="F4" s="277"/>
      <c r="G4" s="277"/>
      <c r="H4" s="277"/>
    </row>
    <row r="5" spans="1:8" ht="17.25" customHeight="1" x14ac:dyDescent="0.25">
      <c r="B5" s="276" t="str">
        <f>Outline!A8</f>
        <v>Course Title: Signals and Systems</v>
      </c>
      <c r="C5" s="276"/>
      <c r="D5" s="276"/>
      <c r="E5" s="276"/>
      <c r="F5" s="276" t="str">
        <f>Outline!A11</f>
        <v>Course Teacher: Dr.Wazir Muhammad</v>
      </c>
      <c r="G5" s="276"/>
      <c r="H5" s="276"/>
    </row>
    <row r="6" spans="1:8" ht="17.25" customHeight="1" x14ac:dyDescent="0.25">
      <c r="B6" s="276" t="str">
        <f>Outline!A10</f>
        <v>Credit Hours: 3+1</v>
      </c>
      <c r="C6" s="276"/>
      <c r="D6" s="276"/>
      <c r="E6" s="276"/>
      <c r="F6" s="276" t="str">
        <f>Outline!A9</f>
        <v>Course Code: EE-224</v>
      </c>
      <c r="G6" s="276"/>
      <c r="H6" s="276"/>
    </row>
    <row r="7" spans="1:8" ht="17.25" customHeight="1" x14ac:dyDescent="0.25">
      <c r="B7" s="276" t="str">
        <f>Outline!A13</f>
        <v>Course Enrlolment No: 116</v>
      </c>
      <c r="C7" s="276"/>
      <c r="D7" s="276"/>
      <c r="E7" s="276"/>
      <c r="F7" s="177"/>
      <c r="G7" s="177"/>
      <c r="H7" s="177"/>
    </row>
    <row r="8" spans="1:8" ht="6.75" customHeight="1" x14ac:dyDescent="0.25">
      <c r="B8" s="111"/>
      <c r="C8" s="99"/>
      <c r="D8" s="99"/>
      <c r="E8" s="99"/>
      <c r="F8" s="99"/>
      <c r="G8" s="99"/>
      <c r="H8" s="99"/>
    </row>
    <row r="9" spans="1:8" ht="33" customHeight="1" x14ac:dyDescent="0.25">
      <c r="B9" s="272" t="s">
        <v>102</v>
      </c>
      <c r="C9" s="274" t="s">
        <v>101</v>
      </c>
      <c r="D9" s="122" t="str">
        <f>IF(Outline!$C$14&gt;0,"Sessional","Semester-Work")</f>
        <v>Sessional</v>
      </c>
      <c r="E9" s="122" t="s">
        <v>160</v>
      </c>
      <c r="F9" s="122" t="str">
        <f>IF(Outline!$C$14&gt;0,"Lab Work","NA")</f>
        <v>Lab Work</v>
      </c>
      <c r="G9" s="122" t="s">
        <v>175</v>
      </c>
      <c r="H9" s="122" t="s">
        <v>161</v>
      </c>
    </row>
    <row r="10" spans="1:8" x14ac:dyDescent="0.25">
      <c r="B10" s="273"/>
      <c r="C10" s="275"/>
      <c r="D10" s="122">
        <f>IF(Outline!$C$14&gt;0,Outline!$E$24,Outline!$E$32)</f>
        <v>10</v>
      </c>
      <c r="E10" s="73">
        <f>IF(Outline!$C$14&gt;0,Outline!$F$24,Outline!$F$32)</f>
        <v>20</v>
      </c>
      <c r="F10" s="73">
        <f>Outline!$F$33</f>
        <v>20</v>
      </c>
      <c r="G10" s="73">
        <f>IF(Outline!$C$14&gt;0,Outline!$G$24,Outline!$G$32)</f>
        <v>50</v>
      </c>
      <c r="H10" s="73">
        <f>Outline!$F$34</f>
        <v>100</v>
      </c>
    </row>
    <row r="11" spans="1:8" ht="18" customHeight="1" x14ac:dyDescent="0.25">
      <c r="B11" s="90">
        <f>Gradesheet!A9</f>
        <v>1</v>
      </c>
      <c r="C11" s="91" t="str">
        <f>(Gradesheet!B9)</f>
        <v>18CS01</v>
      </c>
      <c r="D11" s="92">
        <f>IF(Outline!$C$14&gt;0,Gradesheet!AD9,Gradesheet!AK9)</f>
        <v>7</v>
      </c>
      <c r="E11" s="138">
        <f>IF(Outline!$C$14&gt;0,Gradesheet!L9,Gradesheet!AR9)</f>
        <v>17</v>
      </c>
      <c r="F11" s="138">
        <f>IF(Outline!$C$14&gt;0,Gradesheet!AZ9,"NA")</f>
        <v>19</v>
      </c>
      <c r="G11" s="138">
        <f>IF(Outline!$C$14&gt;0,Gradesheet!U9,Gradesheet!AY9)</f>
        <v>29</v>
      </c>
      <c r="H11" s="139">
        <f>SUM(D11:G11)</f>
        <v>72</v>
      </c>
    </row>
    <row r="12" spans="1:8" ht="18" customHeight="1" x14ac:dyDescent="0.25">
      <c r="B12" s="90">
        <f>Gradesheet!A10</f>
        <v>2</v>
      </c>
      <c r="C12" s="91" t="str">
        <f>(Gradesheet!B10)</f>
        <v>18CS03</v>
      </c>
      <c r="D12" s="92">
        <f>IF(Outline!$C$14&gt;0,Gradesheet!AD10,Gradesheet!AK10)</f>
        <v>9</v>
      </c>
      <c r="E12" s="138">
        <f>IF(Outline!$C$14&gt;0,Gradesheet!L10,Gradesheet!AR10)</f>
        <v>18</v>
      </c>
      <c r="F12" s="138">
        <f>IF(Outline!$C$14&gt;0,Gradesheet!AZ10,"NA")</f>
        <v>18</v>
      </c>
      <c r="G12" s="138">
        <f>IF(Outline!$C$14&gt;0,Gradesheet!U10,Gradesheet!AY10)</f>
        <v>36</v>
      </c>
      <c r="H12" s="139">
        <f t="shared" ref="H12:H75" si="0">SUM(D12:G12)</f>
        <v>81</v>
      </c>
    </row>
    <row r="13" spans="1:8" ht="18" customHeight="1" x14ac:dyDescent="0.25">
      <c r="B13" s="90">
        <f>Gradesheet!A11</f>
        <v>3</v>
      </c>
      <c r="C13" s="91" t="str">
        <f>(Gradesheet!B11)</f>
        <v>18CS04</v>
      </c>
      <c r="D13" s="92">
        <f>IF(Outline!$C$14&gt;0,Gradesheet!AD11,Gradesheet!AK11)</f>
        <v>9</v>
      </c>
      <c r="E13" s="138">
        <f>IF(Outline!$C$14&gt;0,Gradesheet!L11,Gradesheet!AR11)</f>
        <v>16</v>
      </c>
      <c r="F13" s="138">
        <f>IF(Outline!$C$14&gt;0,Gradesheet!AZ11,"NA")</f>
        <v>20</v>
      </c>
      <c r="G13" s="138">
        <f>IF(Outline!$C$14&gt;0,Gradesheet!U11,Gradesheet!AY11)</f>
        <v>36</v>
      </c>
      <c r="H13" s="139">
        <f t="shared" si="0"/>
        <v>81</v>
      </c>
    </row>
    <row r="14" spans="1:8" ht="18" customHeight="1" x14ac:dyDescent="0.25">
      <c r="B14" s="90">
        <f>Gradesheet!A12</f>
        <v>4</v>
      </c>
      <c r="C14" s="91" t="str">
        <f>(Gradesheet!B12)</f>
        <v>18CS05</v>
      </c>
      <c r="D14" s="92">
        <f>IF(Outline!$C$14&gt;0,Gradesheet!AD12,Gradesheet!AK12)</f>
        <v>7</v>
      </c>
      <c r="E14" s="138">
        <f>IF(Outline!$C$14&gt;0,Gradesheet!L12,Gradesheet!AR12)</f>
        <v>13</v>
      </c>
      <c r="F14" s="138">
        <f>IF(Outline!$C$14&gt;0,Gradesheet!AZ12,"NA")</f>
        <v>18</v>
      </c>
      <c r="G14" s="138">
        <f>IF(Outline!$C$14&gt;0,Gradesheet!U12,Gradesheet!AY12)</f>
        <v>26</v>
      </c>
      <c r="H14" s="139">
        <f t="shared" si="0"/>
        <v>64</v>
      </c>
    </row>
    <row r="15" spans="1:8" ht="18" customHeight="1" x14ac:dyDescent="0.25">
      <c r="B15" s="90">
        <f>Gradesheet!A13</f>
        <v>5</v>
      </c>
      <c r="C15" s="91" t="str">
        <f>(Gradesheet!B13)</f>
        <v>18CS07</v>
      </c>
      <c r="D15" s="92">
        <f>IF(Outline!$C$14&gt;0,Gradesheet!AD13,Gradesheet!AK13)</f>
        <v>9</v>
      </c>
      <c r="E15" s="138">
        <f>IF(Outline!$C$14&gt;0,Gradesheet!L13,Gradesheet!AR13)</f>
        <v>15</v>
      </c>
      <c r="F15" s="138">
        <f>IF(Outline!$C$14&gt;0,Gradesheet!AZ13,"NA")</f>
        <v>20</v>
      </c>
      <c r="G15" s="138">
        <f>IF(Outline!$C$14&gt;0,Gradesheet!U13,Gradesheet!AY13)</f>
        <v>32</v>
      </c>
      <c r="H15" s="139">
        <f t="shared" si="0"/>
        <v>76</v>
      </c>
    </row>
    <row r="16" spans="1:8" ht="18" customHeight="1" x14ac:dyDescent="0.25">
      <c r="B16" s="90">
        <f>Gradesheet!A14</f>
        <v>6</v>
      </c>
      <c r="C16" s="91" t="str">
        <f>(Gradesheet!B14)</f>
        <v>18CS08</v>
      </c>
      <c r="D16" s="92">
        <f>IF(Outline!$C$14&gt;0,Gradesheet!AD14,Gradesheet!AK14)</f>
        <v>10</v>
      </c>
      <c r="E16" s="138">
        <f>IF(Outline!$C$14&gt;0,Gradesheet!L14,Gradesheet!AR14)</f>
        <v>18</v>
      </c>
      <c r="F16" s="138">
        <f>IF(Outline!$C$14&gt;0,Gradesheet!AZ14,"NA")</f>
        <v>19</v>
      </c>
      <c r="G16" s="138">
        <f>IF(Outline!$C$14&gt;0,Gradesheet!U14,Gradesheet!AY14)</f>
        <v>41</v>
      </c>
      <c r="H16" s="139">
        <f t="shared" si="0"/>
        <v>88</v>
      </c>
    </row>
    <row r="17" spans="2:8" ht="18" customHeight="1" x14ac:dyDescent="0.25">
      <c r="B17" s="90">
        <f>Gradesheet!A15</f>
        <v>7</v>
      </c>
      <c r="C17" s="91" t="str">
        <f>(Gradesheet!B15)</f>
        <v>18CS09</v>
      </c>
      <c r="D17" s="92">
        <f>IF(Outline!$C$14&gt;0,Gradesheet!AD15,Gradesheet!AK15)</f>
        <v>10</v>
      </c>
      <c r="E17" s="138">
        <f>IF(Outline!$C$14&gt;0,Gradesheet!L15,Gradesheet!AR15)</f>
        <v>18</v>
      </c>
      <c r="F17" s="138">
        <f>IF(Outline!$C$14&gt;0,Gradesheet!AZ15,"NA")</f>
        <v>18</v>
      </c>
      <c r="G17" s="138">
        <f>IF(Outline!$C$14&gt;0,Gradesheet!U15,Gradesheet!AY15)</f>
        <v>43</v>
      </c>
      <c r="H17" s="139">
        <f t="shared" si="0"/>
        <v>89</v>
      </c>
    </row>
    <row r="18" spans="2:8" ht="18" customHeight="1" x14ac:dyDescent="0.25">
      <c r="B18" s="90">
        <f>Gradesheet!A16</f>
        <v>8</v>
      </c>
      <c r="C18" s="91" t="str">
        <f>(Gradesheet!B16)</f>
        <v>18CS10</v>
      </c>
      <c r="D18" s="92">
        <f>IF(Outline!$C$14&gt;0,Gradesheet!AD16,Gradesheet!AK16)</f>
        <v>10</v>
      </c>
      <c r="E18" s="138">
        <f>IF(Outline!$C$14&gt;0,Gradesheet!L16,Gradesheet!AR16)</f>
        <v>18</v>
      </c>
      <c r="F18" s="138">
        <f>IF(Outline!$C$14&gt;0,Gradesheet!AZ16,"NA")</f>
        <v>20</v>
      </c>
      <c r="G18" s="138">
        <f>IF(Outline!$C$14&gt;0,Gradesheet!U16,Gradesheet!AY16)</f>
        <v>45</v>
      </c>
      <c r="H18" s="139">
        <f t="shared" si="0"/>
        <v>93</v>
      </c>
    </row>
    <row r="19" spans="2:8" ht="18" customHeight="1" x14ac:dyDescent="0.25">
      <c r="B19" s="90">
        <f>Gradesheet!A17</f>
        <v>9</v>
      </c>
      <c r="C19" s="91" t="str">
        <f>(Gradesheet!B17)</f>
        <v>18CS11</v>
      </c>
      <c r="D19" s="92">
        <f>IF(Outline!$C$14&gt;0,Gradesheet!AD17,Gradesheet!AK17)</f>
        <v>10</v>
      </c>
      <c r="E19" s="138">
        <f>IF(Outline!$C$14&gt;0,Gradesheet!L17,Gradesheet!AR17)</f>
        <v>18</v>
      </c>
      <c r="F19" s="138">
        <f>IF(Outline!$C$14&gt;0,Gradesheet!AZ17,"NA")</f>
        <v>20</v>
      </c>
      <c r="G19" s="138">
        <f>IF(Outline!$C$14&gt;0,Gradesheet!U17,Gradesheet!AY17)</f>
        <v>43</v>
      </c>
      <c r="H19" s="139">
        <f t="shared" si="0"/>
        <v>91</v>
      </c>
    </row>
    <row r="20" spans="2:8" ht="18" customHeight="1" x14ac:dyDescent="0.25">
      <c r="B20" s="90">
        <f>Gradesheet!A18</f>
        <v>10</v>
      </c>
      <c r="C20" s="91" t="str">
        <f>(Gradesheet!B18)</f>
        <v>18CS12</v>
      </c>
      <c r="D20" s="92">
        <f>IF(Outline!$C$14&gt;0,Gradesheet!AD18,Gradesheet!AK18)</f>
        <v>9</v>
      </c>
      <c r="E20" s="138">
        <f>IF(Outline!$C$14&gt;0,Gradesheet!L18,Gradesheet!AR18)</f>
        <v>17</v>
      </c>
      <c r="F20" s="138">
        <f>IF(Outline!$C$14&gt;0,Gradesheet!AZ18,"NA")</f>
        <v>20</v>
      </c>
      <c r="G20" s="138">
        <f>IF(Outline!$C$14&gt;0,Gradesheet!U18,Gradesheet!AY18)</f>
        <v>44</v>
      </c>
      <c r="H20" s="139">
        <f t="shared" si="0"/>
        <v>90</v>
      </c>
    </row>
    <row r="21" spans="2:8" ht="18" customHeight="1" x14ac:dyDescent="0.25">
      <c r="B21" s="90">
        <f>Gradesheet!A19</f>
        <v>11</v>
      </c>
      <c r="C21" s="91" t="str">
        <f>(Gradesheet!B19)</f>
        <v>18CS14</v>
      </c>
      <c r="D21" s="92">
        <f>IF(Outline!$C$14&gt;0,Gradesheet!AD19,Gradesheet!AK19)</f>
        <v>9</v>
      </c>
      <c r="E21" s="138">
        <f>IF(Outline!$C$14&gt;0,Gradesheet!L19,Gradesheet!AR19)</f>
        <v>15</v>
      </c>
      <c r="F21" s="138">
        <f>IF(Outline!$C$14&gt;0,Gradesheet!AZ19,"NA")</f>
        <v>20</v>
      </c>
      <c r="G21" s="138">
        <f>IF(Outline!$C$14&gt;0,Gradesheet!U19,Gradesheet!AY19)</f>
        <v>37</v>
      </c>
      <c r="H21" s="139">
        <f t="shared" si="0"/>
        <v>81</v>
      </c>
    </row>
    <row r="22" spans="2:8" ht="18" customHeight="1" x14ac:dyDescent="0.25">
      <c r="B22" s="90">
        <f>Gradesheet!A20</f>
        <v>12</v>
      </c>
      <c r="C22" s="91" t="str">
        <f>(Gradesheet!B20)</f>
        <v>18CS15</v>
      </c>
      <c r="D22" s="92">
        <f>IF(Outline!$C$14&gt;0,Gradesheet!AD20,Gradesheet!AK20)</f>
        <v>9</v>
      </c>
      <c r="E22" s="138">
        <f>IF(Outline!$C$14&gt;0,Gradesheet!L20,Gradesheet!AR20)</f>
        <v>17</v>
      </c>
      <c r="F22" s="138">
        <f>IF(Outline!$C$14&gt;0,Gradesheet!AZ20,"NA")</f>
        <v>17</v>
      </c>
      <c r="G22" s="138">
        <f>IF(Outline!$C$14&gt;0,Gradesheet!U20,Gradesheet!AY20)</f>
        <v>38</v>
      </c>
      <c r="H22" s="139">
        <f t="shared" si="0"/>
        <v>81</v>
      </c>
    </row>
    <row r="23" spans="2:8" ht="18" customHeight="1" x14ac:dyDescent="0.25">
      <c r="B23" s="90">
        <f>Gradesheet!A21</f>
        <v>13</v>
      </c>
      <c r="C23" s="91" t="str">
        <f>(Gradesheet!B21)</f>
        <v>18CS16</v>
      </c>
      <c r="D23" s="92">
        <f>IF(Outline!$C$14&gt;0,Gradesheet!AD21,Gradesheet!AK21)</f>
        <v>9</v>
      </c>
      <c r="E23" s="138">
        <f>IF(Outline!$C$14&gt;0,Gradesheet!L21,Gradesheet!AR21)</f>
        <v>16</v>
      </c>
      <c r="F23" s="138">
        <f>IF(Outline!$C$14&gt;0,Gradesheet!AZ21,"NA")</f>
        <v>18</v>
      </c>
      <c r="G23" s="138">
        <f>IF(Outline!$C$14&gt;0,Gradesheet!U21,Gradesheet!AY21)</f>
        <v>38</v>
      </c>
      <c r="H23" s="139">
        <f t="shared" si="0"/>
        <v>81</v>
      </c>
    </row>
    <row r="24" spans="2:8" ht="18" customHeight="1" x14ac:dyDescent="0.25">
      <c r="B24" s="90">
        <f>Gradesheet!A22</f>
        <v>14</v>
      </c>
      <c r="C24" s="91" t="str">
        <f>(Gradesheet!B22)</f>
        <v>18CS18</v>
      </c>
      <c r="D24" s="92">
        <f>IF(Outline!$C$14&gt;0,Gradesheet!AD22,Gradesheet!AK22)</f>
        <v>7</v>
      </c>
      <c r="E24" s="138">
        <f>IF(Outline!$C$14&gt;0,Gradesheet!L22,Gradesheet!AR22)</f>
        <v>15</v>
      </c>
      <c r="F24" s="138">
        <f>IF(Outline!$C$14&gt;0,Gradesheet!AZ22,"NA")</f>
        <v>20</v>
      </c>
      <c r="G24" s="138">
        <f>IF(Outline!$C$14&gt;0,Gradesheet!U22,Gradesheet!AY22)</f>
        <v>22</v>
      </c>
      <c r="H24" s="139">
        <f t="shared" si="0"/>
        <v>64</v>
      </c>
    </row>
    <row r="25" spans="2:8" ht="18" customHeight="1" x14ac:dyDescent="0.25">
      <c r="B25" s="90">
        <f>Gradesheet!A23</f>
        <v>15</v>
      </c>
      <c r="C25" s="91" t="str">
        <f>(Gradesheet!B23)</f>
        <v>18CS20</v>
      </c>
      <c r="D25" s="92">
        <f>IF(Outline!$C$14&gt;0,Gradesheet!AD23,Gradesheet!AK23)</f>
        <v>10</v>
      </c>
      <c r="E25" s="138">
        <f>IF(Outline!$C$14&gt;0,Gradesheet!L23,Gradesheet!AR23)</f>
        <v>17</v>
      </c>
      <c r="F25" s="138">
        <f>IF(Outline!$C$14&gt;0,Gradesheet!AZ23,"NA")</f>
        <v>19</v>
      </c>
      <c r="G25" s="138">
        <f>IF(Outline!$C$14&gt;0,Gradesheet!U23,Gradesheet!AY23)</f>
        <v>40</v>
      </c>
      <c r="H25" s="139">
        <f t="shared" si="0"/>
        <v>86</v>
      </c>
    </row>
    <row r="26" spans="2:8" ht="18" customHeight="1" x14ac:dyDescent="0.25">
      <c r="B26" s="90">
        <f>Gradesheet!A24</f>
        <v>16</v>
      </c>
      <c r="C26" s="91" t="str">
        <f>(Gradesheet!B24)</f>
        <v>18CS21</v>
      </c>
      <c r="D26" s="92">
        <f>IF(Outline!$C$14&gt;0,Gradesheet!AD24,Gradesheet!AK24)</f>
        <v>10</v>
      </c>
      <c r="E26" s="138">
        <f>IF(Outline!$C$14&gt;0,Gradesheet!L24,Gradesheet!AR24)</f>
        <v>18</v>
      </c>
      <c r="F26" s="138">
        <f>IF(Outline!$C$14&gt;0,Gradesheet!AZ24,"NA")</f>
        <v>20</v>
      </c>
      <c r="G26" s="138">
        <f>IF(Outline!$C$14&gt;0,Gradesheet!U24,Gradesheet!AY24)</f>
        <v>41</v>
      </c>
      <c r="H26" s="139">
        <f t="shared" si="0"/>
        <v>89</v>
      </c>
    </row>
    <row r="27" spans="2:8" ht="18" customHeight="1" x14ac:dyDescent="0.25">
      <c r="B27" s="90">
        <f>Gradesheet!A25</f>
        <v>17</v>
      </c>
      <c r="C27" s="91" t="str">
        <f>(Gradesheet!B25)</f>
        <v>18CS22</v>
      </c>
      <c r="D27" s="92">
        <f>IF(Outline!$C$14&gt;0,Gradesheet!AD25,Gradesheet!AK25)</f>
        <v>9</v>
      </c>
      <c r="E27" s="138">
        <f>IF(Outline!$C$14&gt;0,Gradesheet!L25,Gradesheet!AR25)</f>
        <v>16</v>
      </c>
      <c r="F27" s="138">
        <f>IF(Outline!$C$14&gt;0,Gradesheet!AZ25,"NA")</f>
        <v>19</v>
      </c>
      <c r="G27" s="138">
        <f>IF(Outline!$C$14&gt;0,Gradesheet!U25,Gradesheet!AY25)</f>
        <v>30</v>
      </c>
      <c r="H27" s="139">
        <f t="shared" si="0"/>
        <v>74</v>
      </c>
    </row>
    <row r="28" spans="2:8" ht="18" customHeight="1" x14ac:dyDescent="0.25">
      <c r="B28" s="90">
        <f>Gradesheet!A26</f>
        <v>18</v>
      </c>
      <c r="C28" s="91" t="str">
        <f>(Gradesheet!B26)</f>
        <v>18CS24</v>
      </c>
      <c r="D28" s="92">
        <f>IF(Outline!$C$14&gt;0,Gradesheet!AD26,Gradesheet!AK26)</f>
        <v>9</v>
      </c>
      <c r="E28" s="138">
        <f>IF(Outline!$C$14&gt;0,Gradesheet!L26,Gradesheet!AR26)</f>
        <v>17</v>
      </c>
      <c r="F28" s="138">
        <f>IF(Outline!$C$14&gt;0,Gradesheet!AZ26,"NA")</f>
        <v>19</v>
      </c>
      <c r="G28" s="138">
        <f>IF(Outline!$C$14&gt;0,Gradesheet!U26,Gradesheet!AY26)</f>
        <v>39</v>
      </c>
      <c r="H28" s="139">
        <f t="shared" si="0"/>
        <v>84</v>
      </c>
    </row>
    <row r="29" spans="2:8" ht="18" customHeight="1" x14ac:dyDescent="0.25">
      <c r="B29" s="90">
        <f>Gradesheet!A27</f>
        <v>19</v>
      </c>
      <c r="C29" s="91" t="str">
        <f>(Gradesheet!B27)</f>
        <v>18CS25</v>
      </c>
      <c r="D29" s="92">
        <f>IF(Outline!$C$14&gt;0,Gradesheet!AD27,Gradesheet!AK27)</f>
        <v>9</v>
      </c>
      <c r="E29" s="138">
        <f>IF(Outline!$C$14&gt;0,Gradesheet!L27,Gradesheet!AR27)</f>
        <v>17</v>
      </c>
      <c r="F29" s="138">
        <f>IF(Outline!$C$14&gt;0,Gradesheet!AZ27,"NA")</f>
        <v>19</v>
      </c>
      <c r="G29" s="138">
        <f>IF(Outline!$C$14&gt;0,Gradesheet!U27,Gradesheet!AY27)</f>
        <v>38</v>
      </c>
      <c r="H29" s="139">
        <f t="shared" si="0"/>
        <v>83</v>
      </c>
    </row>
    <row r="30" spans="2:8" ht="18" customHeight="1" x14ac:dyDescent="0.25">
      <c r="B30" s="90">
        <f>Gradesheet!A28</f>
        <v>20</v>
      </c>
      <c r="C30" s="91" t="str">
        <f>(Gradesheet!B28)</f>
        <v>18CS26</v>
      </c>
      <c r="D30" s="92">
        <f>IF(Outline!$C$14&gt;0,Gradesheet!AD28,Gradesheet!AK28)</f>
        <v>8</v>
      </c>
      <c r="E30" s="138">
        <f>IF(Outline!$C$14&gt;0,Gradesheet!L28,Gradesheet!AR28)</f>
        <v>16</v>
      </c>
      <c r="F30" s="138">
        <f>IF(Outline!$C$14&gt;0,Gradesheet!AZ28,"NA")</f>
        <v>20</v>
      </c>
      <c r="G30" s="138">
        <f>IF(Outline!$C$14&gt;0,Gradesheet!U28,Gradesheet!AY28)</f>
        <v>32</v>
      </c>
      <c r="H30" s="139">
        <f t="shared" si="0"/>
        <v>76</v>
      </c>
    </row>
    <row r="31" spans="2:8" ht="18" customHeight="1" x14ac:dyDescent="0.25">
      <c r="B31" s="90">
        <f>Gradesheet!A29</f>
        <v>21</v>
      </c>
      <c r="C31" s="91" t="str">
        <f>(Gradesheet!B29)</f>
        <v>18CS27</v>
      </c>
      <c r="D31" s="92">
        <f>IF(Outline!$C$14&gt;0,Gradesheet!AD29,Gradesheet!AK29)</f>
        <v>9</v>
      </c>
      <c r="E31" s="138">
        <f>IF(Outline!$C$14&gt;0,Gradesheet!L29,Gradesheet!AR29)</f>
        <v>18</v>
      </c>
      <c r="F31" s="138">
        <f>IF(Outline!$C$14&gt;0,Gradesheet!AZ29,"NA")</f>
        <v>20</v>
      </c>
      <c r="G31" s="138">
        <f>IF(Outline!$C$14&gt;0,Gradesheet!U29,Gradesheet!AY29)</f>
        <v>37</v>
      </c>
      <c r="H31" s="139">
        <f t="shared" si="0"/>
        <v>84</v>
      </c>
    </row>
    <row r="32" spans="2:8" ht="18" customHeight="1" x14ac:dyDescent="0.25">
      <c r="B32" s="90">
        <f>Gradesheet!A30</f>
        <v>22</v>
      </c>
      <c r="C32" s="91" t="str">
        <f>(Gradesheet!B30)</f>
        <v>18CS28</v>
      </c>
      <c r="D32" s="92">
        <f>IF(Outline!$C$14&gt;0,Gradesheet!AD30,Gradesheet!AK30)</f>
        <v>10</v>
      </c>
      <c r="E32" s="138">
        <f>IF(Outline!$C$14&gt;0,Gradesheet!L30,Gradesheet!AR30)</f>
        <v>17</v>
      </c>
      <c r="F32" s="138">
        <f>IF(Outline!$C$14&gt;0,Gradesheet!AZ30,"NA")</f>
        <v>18</v>
      </c>
      <c r="G32" s="138">
        <f>IF(Outline!$C$14&gt;0,Gradesheet!U30,Gradesheet!AY30)</f>
        <v>40</v>
      </c>
      <c r="H32" s="139">
        <f t="shared" si="0"/>
        <v>85</v>
      </c>
    </row>
    <row r="33" spans="2:8" ht="18" customHeight="1" x14ac:dyDescent="0.25">
      <c r="B33" s="90">
        <f>Gradesheet!A31</f>
        <v>23</v>
      </c>
      <c r="C33" s="91" t="str">
        <f>(Gradesheet!B31)</f>
        <v>18CS30</v>
      </c>
      <c r="D33" s="92">
        <f>IF(Outline!$C$14&gt;0,Gradesheet!AD31,Gradesheet!AK31)</f>
        <v>10</v>
      </c>
      <c r="E33" s="138">
        <f>IF(Outline!$C$14&gt;0,Gradesheet!L31,Gradesheet!AR31)</f>
        <v>18</v>
      </c>
      <c r="F33" s="138">
        <f>IF(Outline!$C$14&gt;0,Gradesheet!AZ31,"NA")</f>
        <v>19</v>
      </c>
      <c r="G33" s="138">
        <f>IF(Outline!$C$14&gt;0,Gradesheet!U31,Gradesheet!AY31)</f>
        <v>40</v>
      </c>
      <c r="H33" s="139">
        <f t="shared" si="0"/>
        <v>87</v>
      </c>
    </row>
    <row r="34" spans="2:8" ht="18" customHeight="1" x14ac:dyDescent="0.25">
      <c r="B34" s="90">
        <f>Gradesheet!A32</f>
        <v>24</v>
      </c>
      <c r="C34" s="91" t="str">
        <f>(Gradesheet!B32)</f>
        <v>18CS31</v>
      </c>
      <c r="D34" s="92">
        <f>IF(Outline!$C$14&gt;0,Gradesheet!AD32,Gradesheet!AK32)</f>
        <v>10</v>
      </c>
      <c r="E34" s="138">
        <f>IF(Outline!$C$14&gt;0,Gradesheet!L32,Gradesheet!AR32)</f>
        <v>17</v>
      </c>
      <c r="F34" s="138">
        <f>IF(Outline!$C$14&gt;0,Gradesheet!AZ32,"NA")</f>
        <v>19</v>
      </c>
      <c r="G34" s="138">
        <f>IF(Outline!$C$14&gt;0,Gradesheet!U32,Gradesheet!AY32)</f>
        <v>42</v>
      </c>
      <c r="H34" s="139">
        <f t="shared" si="0"/>
        <v>88</v>
      </c>
    </row>
    <row r="35" spans="2:8" ht="18" customHeight="1" x14ac:dyDescent="0.25">
      <c r="B35" s="90">
        <f>Gradesheet!A33</f>
        <v>25</v>
      </c>
      <c r="C35" s="91" t="str">
        <f>(Gradesheet!B33)</f>
        <v>18CS32</v>
      </c>
      <c r="D35" s="92">
        <f>IF(Outline!$C$14&gt;0,Gradesheet!AD33,Gradesheet!AK33)</f>
        <v>9</v>
      </c>
      <c r="E35" s="138">
        <f>IF(Outline!$C$14&gt;0,Gradesheet!L33,Gradesheet!AR33)</f>
        <v>19</v>
      </c>
      <c r="F35" s="138">
        <f>IF(Outline!$C$14&gt;0,Gradesheet!AZ33,"NA")</f>
        <v>20</v>
      </c>
      <c r="G35" s="138">
        <f>IF(Outline!$C$14&gt;0,Gradesheet!U33,Gradesheet!AY33)</f>
        <v>30</v>
      </c>
      <c r="H35" s="139">
        <f t="shared" si="0"/>
        <v>78</v>
      </c>
    </row>
    <row r="36" spans="2:8" ht="18" customHeight="1" x14ac:dyDescent="0.25">
      <c r="B36" s="90">
        <f>Gradesheet!A34</f>
        <v>26</v>
      </c>
      <c r="C36" s="91" t="str">
        <f>(Gradesheet!B34)</f>
        <v>18CS33</v>
      </c>
      <c r="D36" s="92">
        <f>IF(Outline!$C$14&gt;0,Gradesheet!AD34,Gradesheet!AK34)</f>
        <v>10</v>
      </c>
      <c r="E36" s="138">
        <f>IF(Outline!$C$14&gt;0,Gradesheet!L34,Gradesheet!AR34)</f>
        <v>17</v>
      </c>
      <c r="F36" s="138">
        <f>IF(Outline!$C$14&gt;0,Gradesheet!AZ34,"NA")</f>
        <v>19</v>
      </c>
      <c r="G36" s="138">
        <f>IF(Outline!$C$14&gt;0,Gradesheet!U34,Gradesheet!AY34)</f>
        <v>43</v>
      </c>
      <c r="H36" s="139">
        <f t="shared" si="0"/>
        <v>89</v>
      </c>
    </row>
    <row r="37" spans="2:8" ht="18" customHeight="1" x14ac:dyDescent="0.25">
      <c r="B37" s="90">
        <f>Gradesheet!A35</f>
        <v>27</v>
      </c>
      <c r="C37" s="91" t="str">
        <f>(Gradesheet!B35)</f>
        <v>18CS34</v>
      </c>
      <c r="D37" s="92">
        <f>IF(Outline!$C$14&gt;0,Gradesheet!AD35,Gradesheet!AK35)</f>
        <v>6</v>
      </c>
      <c r="E37" s="138">
        <f>IF(Outline!$C$14&gt;0,Gradesheet!L35,Gradesheet!AR35)</f>
        <v>15</v>
      </c>
      <c r="F37" s="138">
        <f>IF(Outline!$C$14&gt;0,Gradesheet!AZ35,"NA")</f>
        <v>18</v>
      </c>
      <c r="G37" s="138">
        <f>IF(Outline!$C$14&gt;0,Gradesheet!U35,Gradesheet!AY35)</f>
        <v>18</v>
      </c>
      <c r="H37" s="139">
        <f t="shared" si="0"/>
        <v>57</v>
      </c>
    </row>
    <row r="38" spans="2:8" ht="18" customHeight="1" x14ac:dyDescent="0.25">
      <c r="B38" s="90">
        <f>Gradesheet!A36</f>
        <v>28</v>
      </c>
      <c r="C38" s="91" t="str">
        <f>(Gradesheet!B36)</f>
        <v>18CS35</v>
      </c>
      <c r="D38" s="92">
        <f>IF(Outline!$C$14&gt;0,Gradesheet!AD36,Gradesheet!AK36)</f>
        <v>7</v>
      </c>
      <c r="E38" s="138">
        <f>IF(Outline!$C$14&gt;0,Gradesheet!L36,Gradesheet!AR36)</f>
        <v>14</v>
      </c>
      <c r="F38" s="138">
        <f>IF(Outline!$C$14&gt;0,Gradesheet!AZ36,"NA")</f>
        <v>18</v>
      </c>
      <c r="G38" s="138">
        <f>IF(Outline!$C$14&gt;0,Gradesheet!U36,Gradesheet!AY36)</f>
        <v>28</v>
      </c>
      <c r="H38" s="139">
        <f t="shared" si="0"/>
        <v>67</v>
      </c>
    </row>
    <row r="39" spans="2:8" ht="18" customHeight="1" x14ac:dyDescent="0.25">
      <c r="B39" s="90">
        <f>Gradesheet!A37</f>
        <v>29</v>
      </c>
      <c r="C39" s="91" t="str">
        <f>(Gradesheet!B37)</f>
        <v>18CS36</v>
      </c>
      <c r="D39" s="92">
        <f>IF(Outline!$C$14&gt;0,Gradesheet!AD37,Gradesheet!AK37)</f>
        <v>10</v>
      </c>
      <c r="E39" s="138">
        <f>IF(Outline!$C$14&gt;0,Gradesheet!L37,Gradesheet!AR37)</f>
        <v>17</v>
      </c>
      <c r="F39" s="138">
        <f>IF(Outline!$C$14&gt;0,Gradesheet!AZ37,"NA")</f>
        <v>19</v>
      </c>
      <c r="G39" s="138">
        <f>IF(Outline!$C$14&gt;0,Gradesheet!U37,Gradesheet!AY37)</f>
        <v>44</v>
      </c>
      <c r="H39" s="139">
        <f t="shared" si="0"/>
        <v>90</v>
      </c>
    </row>
    <row r="40" spans="2:8" ht="18" customHeight="1" x14ac:dyDescent="0.25">
      <c r="B40" s="90">
        <f>Gradesheet!A38</f>
        <v>30</v>
      </c>
      <c r="C40" s="91" t="str">
        <f>(Gradesheet!B38)</f>
        <v>18CS37</v>
      </c>
      <c r="D40" s="92">
        <f>IF(Outline!$C$14&gt;0,Gradesheet!AD38,Gradesheet!AK38)</f>
        <v>10</v>
      </c>
      <c r="E40" s="138">
        <f>IF(Outline!$C$14&gt;0,Gradesheet!L38,Gradesheet!AR38)</f>
        <v>17</v>
      </c>
      <c r="F40" s="138">
        <f>IF(Outline!$C$14&gt;0,Gradesheet!AZ38,"NA")</f>
        <v>19</v>
      </c>
      <c r="G40" s="138">
        <f>IF(Outline!$C$14&gt;0,Gradesheet!U38,Gradesheet!AY38)</f>
        <v>44</v>
      </c>
      <c r="H40" s="139">
        <f t="shared" si="0"/>
        <v>90</v>
      </c>
    </row>
    <row r="41" spans="2:8" x14ac:dyDescent="0.25">
      <c r="B41" s="90">
        <f>Gradesheet!A39</f>
        <v>31</v>
      </c>
      <c r="C41" s="91" t="str">
        <f>(Gradesheet!B39)</f>
        <v>18CS38</v>
      </c>
      <c r="D41" s="92">
        <f>IF(Outline!$C$14&gt;0,Gradesheet!AD39,Gradesheet!AK39)</f>
        <v>9</v>
      </c>
      <c r="E41" s="138">
        <f>IF(Outline!$C$14&gt;0,Gradesheet!L39,Gradesheet!AR39)</f>
        <v>10</v>
      </c>
      <c r="F41" s="138">
        <f>IF(Outline!$C$14&gt;0,Gradesheet!AZ39,"NA")</f>
        <v>19</v>
      </c>
      <c r="G41" s="138">
        <f>IF(Outline!$C$14&gt;0,Gradesheet!U39,Gradesheet!AY39)</f>
        <v>35</v>
      </c>
      <c r="H41" s="139">
        <f t="shared" si="0"/>
        <v>73</v>
      </c>
    </row>
    <row r="42" spans="2:8" x14ac:dyDescent="0.25">
      <c r="B42" s="90">
        <f>Gradesheet!A40</f>
        <v>32</v>
      </c>
      <c r="C42" s="91" t="str">
        <f>(Gradesheet!B40)</f>
        <v>18CS39</v>
      </c>
      <c r="D42" s="92">
        <f>IF(Outline!$C$14&gt;0,Gradesheet!AD40,Gradesheet!AK40)</f>
        <v>7</v>
      </c>
      <c r="E42" s="138">
        <f>IF(Outline!$C$14&gt;0,Gradesheet!L40,Gradesheet!AR40)</f>
        <v>16</v>
      </c>
      <c r="F42" s="138">
        <f>IF(Outline!$C$14&gt;0,Gradesheet!AZ40,"NA")</f>
        <v>19</v>
      </c>
      <c r="G42" s="138">
        <f>IF(Outline!$C$14&gt;0,Gradesheet!U40,Gradesheet!AY40)</f>
        <v>23</v>
      </c>
      <c r="H42" s="139">
        <f t="shared" si="0"/>
        <v>65</v>
      </c>
    </row>
    <row r="43" spans="2:8" x14ac:dyDescent="0.25">
      <c r="B43" s="90">
        <f>Gradesheet!A41</f>
        <v>33</v>
      </c>
      <c r="C43" s="91" t="str">
        <f>(Gradesheet!B41)</f>
        <v>18CS40</v>
      </c>
      <c r="D43" s="92">
        <f>IF(Outline!$C$14&gt;0,Gradesheet!AD41,Gradesheet!AK41)</f>
        <v>9</v>
      </c>
      <c r="E43" s="138">
        <f>IF(Outline!$C$14&gt;0,Gradesheet!L41,Gradesheet!AR41)</f>
        <v>12</v>
      </c>
      <c r="F43" s="138">
        <f>IF(Outline!$C$14&gt;0,Gradesheet!AZ41,"NA")</f>
        <v>20</v>
      </c>
      <c r="G43" s="138">
        <f>IF(Outline!$C$14&gt;0,Gradesheet!U41,Gradesheet!AY41)</f>
        <v>31</v>
      </c>
      <c r="H43" s="139">
        <f t="shared" si="0"/>
        <v>72</v>
      </c>
    </row>
    <row r="44" spans="2:8" x14ac:dyDescent="0.25">
      <c r="B44" s="90">
        <f>Gradesheet!A42</f>
        <v>34</v>
      </c>
      <c r="C44" s="91" t="str">
        <f>(Gradesheet!B42)</f>
        <v>18CS42</v>
      </c>
      <c r="D44" s="92">
        <f>IF(Outline!$C$14&gt;0,Gradesheet!AD42,Gradesheet!AK42)</f>
        <v>9</v>
      </c>
      <c r="E44" s="138">
        <f>IF(Outline!$C$14&gt;0,Gradesheet!L42,Gradesheet!AR42)</f>
        <v>17</v>
      </c>
      <c r="F44" s="138">
        <f>IF(Outline!$C$14&gt;0,Gradesheet!AZ42,"NA")</f>
        <v>17</v>
      </c>
      <c r="G44" s="138">
        <f>IF(Outline!$C$14&gt;0,Gradesheet!U42,Gradesheet!AY42)</f>
        <v>36</v>
      </c>
      <c r="H44" s="139">
        <f t="shared" si="0"/>
        <v>79</v>
      </c>
    </row>
    <row r="45" spans="2:8" x14ac:dyDescent="0.25">
      <c r="B45" s="90">
        <f>Gradesheet!A43</f>
        <v>35</v>
      </c>
      <c r="C45" s="91" t="str">
        <f>(Gradesheet!B43)</f>
        <v>18CS43</v>
      </c>
      <c r="D45" s="92">
        <f>IF(Outline!$C$14&gt;0,Gradesheet!AD43,Gradesheet!AK43)</f>
        <v>9</v>
      </c>
      <c r="E45" s="138">
        <f>IF(Outline!$C$14&gt;0,Gradesheet!L43,Gradesheet!AR43)</f>
        <v>17</v>
      </c>
      <c r="F45" s="138">
        <f>IF(Outline!$C$14&gt;0,Gradesheet!AZ43,"NA")</f>
        <v>20</v>
      </c>
      <c r="G45" s="138">
        <f>IF(Outline!$C$14&gt;0,Gradesheet!U43,Gradesheet!AY43)</f>
        <v>37</v>
      </c>
      <c r="H45" s="139">
        <f t="shared" si="0"/>
        <v>83</v>
      </c>
    </row>
    <row r="46" spans="2:8" x14ac:dyDescent="0.25">
      <c r="B46" s="90">
        <f>Gradesheet!A44</f>
        <v>36</v>
      </c>
      <c r="C46" s="91" t="str">
        <f>(Gradesheet!B44)</f>
        <v>18CS45</v>
      </c>
      <c r="D46" s="92">
        <f>IF(Outline!$C$14&gt;0,Gradesheet!AD44,Gradesheet!AK44)</f>
        <v>10</v>
      </c>
      <c r="E46" s="138">
        <f>IF(Outline!$C$14&gt;0,Gradesheet!L44,Gradesheet!AR44)</f>
        <v>17</v>
      </c>
      <c r="F46" s="138">
        <f>IF(Outline!$C$14&gt;0,Gradesheet!AZ44,"NA")</f>
        <v>19</v>
      </c>
      <c r="G46" s="138">
        <f>IF(Outline!$C$14&gt;0,Gradesheet!U44,Gradesheet!AY44)</f>
        <v>42</v>
      </c>
      <c r="H46" s="139">
        <f t="shared" si="0"/>
        <v>88</v>
      </c>
    </row>
    <row r="47" spans="2:8" x14ac:dyDescent="0.25">
      <c r="B47" s="90">
        <f>Gradesheet!A45</f>
        <v>37</v>
      </c>
      <c r="C47" s="91" t="str">
        <f>(Gradesheet!B45)</f>
        <v>18CS46</v>
      </c>
      <c r="D47" s="92">
        <f>IF(Outline!$C$14&gt;0,Gradesheet!AD45,Gradesheet!AK45)</f>
        <v>9</v>
      </c>
      <c r="E47" s="138">
        <f>IF(Outline!$C$14&gt;0,Gradesheet!L45,Gradesheet!AR45)</f>
        <v>19</v>
      </c>
      <c r="F47" s="138">
        <f>IF(Outline!$C$14&gt;0,Gradesheet!AZ45,"NA")</f>
        <v>19</v>
      </c>
      <c r="G47" s="138">
        <f>IF(Outline!$C$14&gt;0,Gradesheet!U45,Gradesheet!AY45)</f>
        <v>34</v>
      </c>
      <c r="H47" s="139">
        <f t="shared" si="0"/>
        <v>81</v>
      </c>
    </row>
    <row r="48" spans="2:8" x14ac:dyDescent="0.25">
      <c r="B48" s="90">
        <f>Gradesheet!A46</f>
        <v>38</v>
      </c>
      <c r="C48" s="91" t="str">
        <f>(Gradesheet!B46)</f>
        <v>18CS47</v>
      </c>
      <c r="D48" s="92">
        <f>IF(Outline!$C$14&gt;0,Gradesheet!AD46,Gradesheet!AK46)</f>
        <v>6</v>
      </c>
      <c r="E48" s="138">
        <f>IF(Outline!$C$14&gt;0,Gradesheet!L46,Gradesheet!AR46)</f>
        <v>17</v>
      </c>
      <c r="F48" s="138">
        <f>IF(Outline!$C$14&gt;0,Gradesheet!AZ46,"NA")</f>
        <v>0</v>
      </c>
      <c r="G48" s="138">
        <f>IF(Outline!$C$14&gt;0,Gradesheet!U46,Gradesheet!AY46)</f>
        <v>9</v>
      </c>
      <c r="H48" s="139">
        <f t="shared" si="0"/>
        <v>32</v>
      </c>
    </row>
    <row r="49" spans="2:8" x14ac:dyDescent="0.25">
      <c r="B49" s="90">
        <f>Gradesheet!A47</f>
        <v>39</v>
      </c>
      <c r="C49" s="91" t="str">
        <f>(Gradesheet!B47)</f>
        <v>17CS49</v>
      </c>
      <c r="D49" s="92">
        <f>IF(Outline!$C$14&gt;0,Gradesheet!AD47,Gradesheet!AK47)</f>
        <v>6</v>
      </c>
      <c r="E49" s="138">
        <f>IF(Outline!$C$14&gt;0,Gradesheet!L47,Gradesheet!AR47)</f>
        <v>0</v>
      </c>
      <c r="F49" s="138">
        <f>IF(Outline!$C$14&gt;0,Gradesheet!AZ47,"NA")</f>
        <v>11</v>
      </c>
      <c r="G49" s="138">
        <f>IF(Outline!$C$14&gt;0,Gradesheet!U47,Gradesheet!AY47)</f>
        <v>5</v>
      </c>
      <c r="H49" s="139">
        <f t="shared" si="0"/>
        <v>22</v>
      </c>
    </row>
    <row r="50" spans="2:8" x14ac:dyDescent="0.25">
      <c r="B50" s="90">
        <f>Gradesheet!A48</f>
        <v>40</v>
      </c>
      <c r="C50" s="91" t="str">
        <f>(Gradesheet!B48)</f>
        <v>16CS37</v>
      </c>
      <c r="D50" s="92">
        <f>IF(Outline!$C$14&gt;0,Gradesheet!AD48,Gradesheet!AK48)</f>
        <v>6</v>
      </c>
      <c r="E50" s="138">
        <f>IF(Outline!$C$14&gt;0,Gradesheet!L48,Gradesheet!AR48)</f>
        <v>14</v>
      </c>
      <c r="F50" s="138">
        <f>IF(Outline!$C$14&gt;0,Gradesheet!AZ48,"NA")</f>
        <v>15</v>
      </c>
      <c r="G50" s="138">
        <f>IF(Outline!$C$14&gt;0,Gradesheet!U48,Gradesheet!AY48)</f>
        <v>16</v>
      </c>
      <c r="H50" s="139">
        <f t="shared" si="0"/>
        <v>51</v>
      </c>
    </row>
    <row r="51" spans="2:8" x14ac:dyDescent="0.25">
      <c r="B51" s="90">
        <f>Gradesheet!A49</f>
        <v>41</v>
      </c>
      <c r="C51" s="91" t="str">
        <f>(Gradesheet!B49)</f>
        <v>16CS20</v>
      </c>
      <c r="D51" s="92">
        <f>IF(Outline!$C$14&gt;0,Gradesheet!AD49,Gradesheet!AK49)</f>
        <v>6</v>
      </c>
      <c r="E51" s="138">
        <f>IF(Outline!$C$14&gt;0,Gradesheet!L49,Gradesheet!AR49)</f>
        <v>11</v>
      </c>
      <c r="F51" s="138">
        <f>IF(Outline!$C$14&gt;0,Gradesheet!AZ49,"NA")</f>
        <v>0</v>
      </c>
      <c r="G51" s="138">
        <f>IF(Outline!$C$14&gt;0,Gradesheet!U49,Gradesheet!AY49)</f>
        <v>13</v>
      </c>
      <c r="H51" s="139">
        <f t="shared" si="0"/>
        <v>30</v>
      </c>
    </row>
    <row r="52" spans="2:8" x14ac:dyDescent="0.25">
      <c r="B52" s="90">
        <f>Gradesheet!A50</f>
        <v>42</v>
      </c>
      <c r="C52" s="91" t="str">
        <f>(Gradesheet!B50)</f>
        <v>15CS29</v>
      </c>
      <c r="D52" s="92">
        <f>IF(Outline!$C$14&gt;0,Gradesheet!AD50,Gradesheet!AK50)</f>
        <v>6</v>
      </c>
      <c r="E52" s="138">
        <f>IF(Outline!$C$14&gt;0,Gradesheet!L50,Gradesheet!AR50)</f>
        <v>0</v>
      </c>
      <c r="F52" s="138">
        <f>IF(Outline!$C$14&gt;0,Gradesheet!AZ50,"NA")</f>
        <v>0</v>
      </c>
      <c r="G52" s="138">
        <f>IF(Outline!$C$14&gt;0,Gradesheet!U50,Gradesheet!AY50)</f>
        <v>30</v>
      </c>
      <c r="H52" s="139">
        <f t="shared" si="0"/>
        <v>36</v>
      </c>
    </row>
    <row r="53" spans="2:8" hidden="1" x14ac:dyDescent="0.25">
      <c r="B53" s="90" t="e">
        <f>Gradesheet!#REF!</f>
        <v>#REF!</v>
      </c>
      <c r="C53" s="91" t="e">
        <f>(Gradesheet!#REF!)</f>
        <v>#REF!</v>
      </c>
      <c r="D53" s="92" t="e">
        <f>IF(Outline!$C$14&gt;0,Gradesheet!#REF!,Gradesheet!#REF!)</f>
        <v>#REF!</v>
      </c>
      <c r="E53" s="138" t="e">
        <f>IF(Outline!$C$14&gt;0,Gradesheet!#REF!,Gradesheet!#REF!)</f>
        <v>#REF!</v>
      </c>
      <c r="F53" s="138" t="e">
        <f>IF(Outline!$C$14&gt;0,Gradesheet!#REF!,"NA")</f>
        <v>#REF!</v>
      </c>
      <c r="G53" s="138" t="e">
        <f>IF(Outline!$C$14&gt;0,Gradesheet!#REF!,Gradesheet!#REF!)</f>
        <v>#REF!</v>
      </c>
      <c r="H53" s="139" t="e">
        <f t="shared" si="0"/>
        <v>#REF!</v>
      </c>
    </row>
    <row r="54" spans="2:8" hidden="1" x14ac:dyDescent="0.25">
      <c r="B54" s="90" t="e">
        <f>Gradesheet!#REF!</f>
        <v>#REF!</v>
      </c>
      <c r="C54" s="91" t="e">
        <f>(Gradesheet!#REF!)</f>
        <v>#REF!</v>
      </c>
      <c r="D54" s="92" t="e">
        <f>IF(Outline!$C$14&gt;0,Gradesheet!#REF!,Gradesheet!#REF!)</f>
        <v>#REF!</v>
      </c>
      <c r="E54" s="138" t="e">
        <f>IF(Outline!$C$14&gt;0,Gradesheet!#REF!,Gradesheet!#REF!)</f>
        <v>#REF!</v>
      </c>
      <c r="F54" s="138" t="e">
        <f>IF(Outline!$C$14&gt;0,Gradesheet!#REF!,"NA")</f>
        <v>#REF!</v>
      </c>
      <c r="G54" s="138" t="e">
        <f>IF(Outline!$C$14&gt;0,Gradesheet!#REF!,Gradesheet!#REF!)</f>
        <v>#REF!</v>
      </c>
      <c r="H54" s="139" t="e">
        <f t="shared" si="0"/>
        <v>#REF!</v>
      </c>
    </row>
    <row r="55" spans="2:8" hidden="1" x14ac:dyDescent="0.25">
      <c r="B55" s="90" t="e">
        <f>Gradesheet!#REF!</f>
        <v>#REF!</v>
      </c>
      <c r="C55" s="91" t="e">
        <f>(Gradesheet!#REF!)</f>
        <v>#REF!</v>
      </c>
      <c r="D55" s="92" t="e">
        <f>IF(Outline!$C$14&gt;0,Gradesheet!#REF!,Gradesheet!#REF!)</f>
        <v>#REF!</v>
      </c>
      <c r="E55" s="138" t="e">
        <f>IF(Outline!$C$14&gt;0,Gradesheet!#REF!,Gradesheet!#REF!)</f>
        <v>#REF!</v>
      </c>
      <c r="F55" s="138" t="e">
        <f>IF(Outline!$C$14&gt;0,Gradesheet!#REF!,"NA")</f>
        <v>#REF!</v>
      </c>
      <c r="G55" s="138" t="e">
        <f>IF(Outline!$C$14&gt;0,Gradesheet!#REF!,Gradesheet!#REF!)</f>
        <v>#REF!</v>
      </c>
      <c r="H55" s="139" t="e">
        <f t="shared" si="0"/>
        <v>#REF!</v>
      </c>
    </row>
    <row r="56" spans="2:8" hidden="1" x14ac:dyDescent="0.25">
      <c r="B56" s="90" t="e">
        <f>Gradesheet!#REF!</f>
        <v>#REF!</v>
      </c>
      <c r="C56" s="91" t="e">
        <f>(Gradesheet!#REF!)</f>
        <v>#REF!</v>
      </c>
      <c r="D56" s="92" t="e">
        <f>IF(Outline!$C$14&gt;0,Gradesheet!#REF!,Gradesheet!#REF!)</f>
        <v>#REF!</v>
      </c>
      <c r="E56" s="138" t="e">
        <f>IF(Outline!$C$14&gt;0,Gradesheet!#REF!,Gradesheet!#REF!)</f>
        <v>#REF!</v>
      </c>
      <c r="F56" s="138" t="e">
        <f>IF(Outline!$C$14&gt;0,Gradesheet!#REF!,"NA")</f>
        <v>#REF!</v>
      </c>
      <c r="G56" s="138" t="e">
        <f>IF(Outline!$C$14&gt;0,Gradesheet!#REF!,Gradesheet!#REF!)</f>
        <v>#REF!</v>
      </c>
      <c r="H56" s="139" t="e">
        <f t="shared" si="0"/>
        <v>#REF!</v>
      </c>
    </row>
    <row r="57" spans="2:8" hidden="1" x14ac:dyDescent="0.25">
      <c r="B57" s="90" t="e">
        <f>Gradesheet!#REF!</f>
        <v>#REF!</v>
      </c>
      <c r="C57" s="91" t="e">
        <f>(Gradesheet!#REF!)</f>
        <v>#REF!</v>
      </c>
      <c r="D57" s="92" t="e">
        <f>IF(Outline!$C$14&gt;0,Gradesheet!#REF!,Gradesheet!#REF!)</f>
        <v>#REF!</v>
      </c>
      <c r="E57" s="138" t="e">
        <f>IF(Outline!$C$14&gt;0,Gradesheet!#REF!,Gradesheet!#REF!)</f>
        <v>#REF!</v>
      </c>
      <c r="F57" s="138" t="e">
        <f>IF(Outline!$C$14&gt;0,Gradesheet!#REF!,"NA")</f>
        <v>#REF!</v>
      </c>
      <c r="G57" s="138" t="e">
        <f>IF(Outline!$C$14&gt;0,Gradesheet!#REF!,Gradesheet!#REF!)</f>
        <v>#REF!</v>
      </c>
      <c r="H57" s="139" t="e">
        <f t="shared" si="0"/>
        <v>#REF!</v>
      </c>
    </row>
    <row r="58" spans="2:8" hidden="1" x14ac:dyDescent="0.25">
      <c r="B58" s="90" t="e">
        <f>Gradesheet!#REF!</f>
        <v>#REF!</v>
      </c>
      <c r="C58" s="91" t="e">
        <f>(Gradesheet!#REF!)</f>
        <v>#REF!</v>
      </c>
      <c r="D58" s="92" t="e">
        <f>IF(Outline!$C$14&gt;0,Gradesheet!#REF!,Gradesheet!#REF!)</f>
        <v>#REF!</v>
      </c>
      <c r="E58" s="138" t="e">
        <f>IF(Outline!$C$14&gt;0,Gradesheet!#REF!,Gradesheet!#REF!)</f>
        <v>#REF!</v>
      </c>
      <c r="F58" s="138" t="e">
        <f>IF(Outline!$C$14&gt;0,Gradesheet!#REF!,"NA")</f>
        <v>#REF!</v>
      </c>
      <c r="G58" s="138" t="e">
        <f>IF(Outline!$C$14&gt;0,Gradesheet!#REF!,Gradesheet!#REF!)</f>
        <v>#REF!</v>
      </c>
      <c r="H58" s="139" t="e">
        <f t="shared" si="0"/>
        <v>#REF!</v>
      </c>
    </row>
    <row r="59" spans="2:8" hidden="1" x14ac:dyDescent="0.25">
      <c r="B59" s="90" t="e">
        <f>Gradesheet!#REF!</f>
        <v>#REF!</v>
      </c>
      <c r="C59" s="91" t="e">
        <f>(Gradesheet!#REF!)</f>
        <v>#REF!</v>
      </c>
      <c r="D59" s="92" t="e">
        <f>IF(Outline!$C$14&gt;0,Gradesheet!#REF!,Gradesheet!#REF!)</f>
        <v>#REF!</v>
      </c>
      <c r="E59" s="138" t="e">
        <f>IF(Outline!$C$14&gt;0,Gradesheet!#REF!,Gradesheet!#REF!)</f>
        <v>#REF!</v>
      </c>
      <c r="F59" s="138" t="e">
        <f>IF(Outline!$C$14&gt;0,Gradesheet!#REF!,"NA")</f>
        <v>#REF!</v>
      </c>
      <c r="G59" s="138" t="e">
        <f>IF(Outline!$C$14&gt;0,Gradesheet!#REF!,Gradesheet!#REF!)</f>
        <v>#REF!</v>
      </c>
      <c r="H59" s="139" t="e">
        <f t="shared" si="0"/>
        <v>#REF!</v>
      </c>
    </row>
    <row r="60" spans="2:8" hidden="1" x14ac:dyDescent="0.25">
      <c r="B60" s="90" t="e">
        <f>Gradesheet!#REF!</f>
        <v>#REF!</v>
      </c>
      <c r="C60" s="91" t="e">
        <f>(Gradesheet!#REF!)</f>
        <v>#REF!</v>
      </c>
      <c r="D60" s="92" t="e">
        <f>IF(Outline!$C$14&gt;0,Gradesheet!#REF!,Gradesheet!#REF!)</f>
        <v>#REF!</v>
      </c>
      <c r="E60" s="138" t="e">
        <f>IF(Outline!$C$14&gt;0,Gradesheet!#REF!,Gradesheet!#REF!)</f>
        <v>#REF!</v>
      </c>
      <c r="F60" s="138" t="e">
        <f>IF(Outline!$C$14&gt;0,Gradesheet!#REF!,"NA")</f>
        <v>#REF!</v>
      </c>
      <c r="G60" s="138" t="e">
        <f>IF(Outline!$C$14&gt;0,Gradesheet!#REF!,Gradesheet!#REF!)</f>
        <v>#REF!</v>
      </c>
      <c r="H60" s="139" t="e">
        <f t="shared" si="0"/>
        <v>#REF!</v>
      </c>
    </row>
    <row r="61" spans="2:8" hidden="1" x14ac:dyDescent="0.25">
      <c r="B61" s="90" t="e">
        <f>Gradesheet!#REF!</f>
        <v>#REF!</v>
      </c>
      <c r="C61" s="91" t="e">
        <f>(Gradesheet!#REF!)</f>
        <v>#REF!</v>
      </c>
      <c r="D61" s="92" t="e">
        <f>IF(Outline!$C$14&gt;0,Gradesheet!#REF!,Gradesheet!#REF!)</f>
        <v>#REF!</v>
      </c>
      <c r="E61" s="138" t="e">
        <f>IF(Outline!$C$14&gt;0,Gradesheet!#REF!,Gradesheet!#REF!)</f>
        <v>#REF!</v>
      </c>
      <c r="F61" s="138" t="e">
        <f>IF(Outline!$C$14&gt;0,Gradesheet!#REF!,"NA")</f>
        <v>#REF!</v>
      </c>
      <c r="G61" s="138" t="e">
        <f>IF(Outline!$C$14&gt;0,Gradesheet!#REF!,Gradesheet!#REF!)</f>
        <v>#REF!</v>
      </c>
      <c r="H61" s="139" t="e">
        <f t="shared" si="0"/>
        <v>#REF!</v>
      </c>
    </row>
    <row r="62" spans="2:8" hidden="1" x14ac:dyDescent="0.25">
      <c r="B62" s="90" t="e">
        <f>Gradesheet!#REF!</f>
        <v>#REF!</v>
      </c>
      <c r="C62" s="91" t="e">
        <f>(Gradesheet!#REF!)</f>
        <v>#REF!</v>
      </c>
      <c r="D62" s="92" t="e">
        <f>IF(Outline!$C$14&gt;0,Gradesheet!#REF!,Gradesheet!#REF!)</f>
        <v>#REF!</v>
      </c>
      <c r="E62" s="138" t="e">
        <f>IF(Outline!$C$14&gt;0,Gradesheet!#REF!,Gradesheet!#REF!)</f>
        <v>#REF!</v>
      </c>
      <c r="F62" s="138" t="e">
        <f>IF(Outline!$C$14&gt;0,Gradesheet!#REF!,"NA")</f>
        <v>#REF!</v>
      </c>
      <c r="G62" s="138" t="e">
        <f>IF(Outline!$C$14&gt;0,Gradesheet!#REF!,Gradesheet!#REF!)</f>
        <v>#REF!</v>
      </c>
      <c r="H62" s="139" t="e">
        <f t="shared" si="0"/>
        <v>#REF!</v>
      </c>
    </row>
    <row r="63" spans="2:8" hidden="1" x14ac:dyDescent="0.25">
      <c r="B63" s="90" t="e">
        <f>Gradesheet!#REF!</f>
        <v>#REF!</v>
      </c>
      <c r="C63" s="91" t="e">
        <f>(Gradesheet!#REF!)</f>
        <v>#REF!</v>
      </c>
      <c r="D63" s="92" t="e">
        <f>IF(Outline!$C$14&gt;0,Gradesheet!#REF!,Gradesheet!#REF!)</f>
        <v>#REF!</v>
      </c>
      <c r="E63" s="138" t="e">
        <f>IF(Outline!$C$14&gt;0,Gradesheet!#REF!,Gradesheet!#REF!)</f>
        <v>#REF!</v>
      </c>
      <c r="F63" s="138" t="e">
        <f>IF(Outline!$C$14&gt;0,Gradesheet!#REF!,"NA")</f>
        <v>#REF!</v>
      </c>
      <c r="G63" s="138" t="e">
        <f>IF(Outline!$C$14&gt;0,Gradesheet!#REF!,Gradesheet!#REF!)</f>
        <v>#REF!</v>
      </c>
      <c r="H63" s="139" t="e">
        <f t="shared" si="0"/>
        <v>#REF!</v>
      </c>
    </row>
    <row r="64" spans="2:8" hidden="1" x14ac:dyDescent="0.25">
      <c r="B64" s="90" t="e">
        <f>Gradesheet!#REF!</f>
        <v>#REF!</v>
      </c>
      <c r="C64" s="91" t="e">
        <f>(Gradesheet!#REF!)</f>
        <v>#REF!</v>
      </c>
      <c r="D64" s="92" t="e">
        <f>IF(Outline!$C$14&gt;0,Gradesheet!#REF!,Gradesheet!#REF!)</f>
        <v>#REF!</v>
      </c>
      <c r="E64" s="138" t="e">
        <f>IF(Outline!$C$14&gt;0,Gradesheet!#REF!,Gradesheet!#REF!)</f>
        <v>#REF!</v>
      </c>
      <c r="F64" s="138" t="e">
        <f>IF(Outline!$C$14&gt;0,Gradesheet!#REF!,"NA")</f>
        <v>#REF!</v>
      </c>
      <c r="G64" s="138" t="e">
        <f>IF(Outline!$C$14&gt;0,Gradesheet!#REF!,Gradesheet!#REF!)</f>
        <v>#REF!</v>
      </c>
      <c r="H64" s="139" t="e">
        <f t="shared" si="0"/>
        <v>#REF!</v>
      </c>
    </row>
    <row r="65" spans="2:8" hidden="1" x14ac:dyDescent="0.25">
      <c r="B65" s="90" t="e">
        <f>Gradesheet!#REF!</f>
        <v>#REF!</v>
      </c>
      <c r="C65" s="91" t="e">
        <f>(Gradesheet!#REF!)</f>
        <v>#REF!</v>
      </c>
      <c r="D65" s="92" t="e">
        <f>IF(Outline!$C$14&gt;0,Gradesheet!#REF!,Gradesheet!#REF!)</f>
        <v>#REF!</v>
      </c>
      <c r="E65" s="138" t="e">
        <f>IF(Outline!$C$14&gt;0,Gradesheet!#REF!,Gradesheet!#REF!)</f>
        <v>#REF!</v>
      </c>
      <c r="F65" s="138" t="e">
        <f>IF(Outline!$C$14&gt;0,Gradesheet!#REF!,"NA")</f>
        <v>#REF!</v>
      </c>
      <c r="G65" s="138" t="e">
        <f>IF(Outline!$C$14&gt;0,Gradesheet!#REF!,Gradesheet!#REF!)</f>
        <v>#REF!</v>
      </c>
      <c r="H65" s="139" t="e">
        <f t="shared" si="0"/>
        <v>#REF!</v>
      </c>
    </row>
    <row r="66" spans="2:8" hidden="1" x14ac:dyDescent="0.25">
      <c r="B66" s="90" t="e">
        <f>Gradesheet!#REF!</f>
        <v>#REF!</v>
      </c>
      <c r="C66" s="91" t="e">
        <f>(Gradesheet!#REF!)</f>
        <v>#REF!</v>
      </c>
      <c r="D66" s="92" t="e">
        <f>IF(Outline!$C$14&gt;0,Gradesheet!#REF!,Gradesheet!#REF!)</f>
        <v>#REF!</v>
      </c>
      <c r="E66" s="138" t="e">
        <f>IF(Outline!$C$14&gt;0,Gradesheet!#REF!,Gradesheet!#REF!)</f>
        <v>#REF!</v>
      </c>
      <c r="F66" s="138" t="e">
        <f>IF(Outline!$C$14&gt;0,Gradesheet!#REF!,"NA")</f>
        <v>#REF!</v>
      </c>
      <c r="G66" s="138" t="e">
        <f>IF(Outline!$C$14&gt;0,Gradesheet!#REF!,Gradesheet!#REF!)</f>
        <v>#REF!</v>
      </c>
      <c r="H66" s="139" t="e">
        <f t="shared" si="0"/>
        <v>#REF!</v>
      </c>
    </row>
    <row r="67" spans="2:8" hidden="1" x14ac:dyDescent="0.25">
      <c r="B67" s="90" t="e">
        <f>Gradesheet!#REF!</f>
        <v>#REF!</v>
      </c>
      <c r="C67" s="91" t="e">
        <f>(Gradesheet!#REF!)</f>
        <v>#REF!</v>
      </c>
      <c r="D67" s="92" t="e">
        <f>IF(Outline!$C$14&gt;0,Gradesheet!#REF!,Gradesheet!#REF!)</f>
        <v>#REF!</v>
      </c>
      <c r="E67" s="138" t="e">
        <f>IF(Outline!$C$14&gt;0,Gradesheet!#REF!,Gradesheet!#REF!)</f>
        <v>#REF!</v>
      </c>
      <c r="F67" s="138" t="e">
        <f>IF(Outline!$C$14&gt;0,Gradesheet!#REF!,"NA")</f>
        <v>#REF!</v>
      </c>
      <c r="G67" s="138" t="e">
        <f>IF(Outline!$C$14&gt;0,Gradesheet!#REF!,Gradesheet!#REF!)</f>
        <v>#REF!</v>
      </c>
      <c r="H67" s="139" t="e">
        <f t="shared" si="0"/>
        <v>#REF!</v>
      </c>
    </row>
    <row r="68" spans="2:8" hidden="1" x14ac:dyDescent="0.25">
      <c r="B68" s="90" t="e">
        <f>Gradesheet!#REF!</f>
        <v>#REF!</v>
      </c>
      <c r="C68" s="91" t="e">
        <f>(Gradesheet!#REF!)</f>
        <v>#REF!</v>
      </c>
      <c r="D68" s="92" t="e">
        <f>IF(Outline!$C$14&gt;0,Gradesheet!#REF!,Gradesheet!#REF!)</f>
        <v>#REF!</v>
      </c>
      <c r="E68" s="138" t="e">
        <f>IF(Outline!$C$14&gt;0,Gradesheet!#REF!,Gradesheet!#REF!)</f>
        <v>#REF!</v>
      </c>
      <c r="F68" s="138" t="e">
        <f>IF(Outline!$C$14&gt;0,Gradesheet!#REF!,"NA")</f>
        <v>#REF!</v>
      </c>
      <c r="G68" s="138" t="e">
        <f>IF(Outline!$C$14&gt;0,Gradesheet!#REF!,Gradesheet!#REF!)</f>
        <v>#REF!</v>
      </c>
      <c r="H68" s="139" t="e">
        <f t="shared" si="0"/>
        <v>#REF!</v>
      </c>
    </row>
    <row r="69" spans="2:8" hidden="1" x14ac:dyDescent="0.25">
      <c r="B69" s="90" t="e">
        <f>Gradesheet!#REF!</f>
        <v>#REF!</v>
      </c>
      <c r="C69" s="91" t="e">
        <f>(Gradesheet!#REF!)</f>
        <v>#REF!</v>
      </c>
      <c r="D69" s="92" t="e">
        <f>IF(Outline!$C$14&gt;0,Gradesheet!#REF!,Gradesheet!#REF!)</f>
        <v>#REF!</v>
      </c>
      <c r="E69" s="138" t="e">
        <f>IF(Outline!$C$14&gt;0,Gradesheet!#REF!,Gradesheet!#REF!)</f>
        <v>#REF!</v>
      </c>
      <c r="F69" s="138" t="e">
        <f>IF(Outline!$C$14&gt;0,Gradesheet!#REF!,"NA")</f>
        <v>#REF!</v>
      </c>
      <c r="G69" s="138" t="e">
        <f>IF(Outline!$C$14&gt;0,Gradesheet!#REF!,Gradesheet!#REF!)</f>
        <v>#REF!</v>
      </c>
      <c r="H69" s="139" t="e">
        <f t="shared" si="0"/>
        <v>#REF!</v>
      </c>
    </row>
    <row r="70" spans="2:8" hidden="1" x14ac:dyDescent="0.25">
      <c r="B70" s="90" t="e">
        <f>Gradesheet!#REF!</f>
        <v>#REF!</v>
      </c>
      <c r="C70" s="91" t="e">
        <f>(Gradesheet!#REF!)</f>
        <v>#REF!</v>
      </c>
      <c r="D70" s="92" t="e">
        <f>IF(Outline!$C$14&gt;0,Gradesheet!#REF!,Gradesheet!#REF!)</f>
        <v>#REF!</v>
      </c>
      <c r="E70" s="138" t="e">
        <f>IF(Outline!$C$14&gt;0,Gradesheet!#REF!,Gradesheet!#REF!)</f>
        <v>#REF!</v>
      </c>
      <c r="F70" s="138" t="e">
        <f>IF(Outline!$C$14&gt;0,Gradesheet!#REF!,"NA")</f>
        <v>#REF!</v>
      </c>
      <c r="G70" s="138" t="e">
        <f>IF(Outline!$C$14&gt;0,Gradesheet!#REF!,Gradesheet!#REF!)</f>
        <v>#REF!</v>
      </c>
      <c r="H70" s="139" t="e">
        <f t="shared" si="0"/>
        <v>#REF!</v>
      </c>
    </row>
    <row r="71" spans="2:8" hidden="1" x14ac:dyDescent="0.25">
      <c r="B71" s="90" t="e">
        <f>Gradesheet!#REF!</f>
        <v>#REF!</v>
      </c>
      <c r="C71" s="91" t="e">
        <f>(Gradesheet!#REF!)</f>
        <v>#REF!</v>
      </c>
      <c r="D71" s="92" t="e">
        <f>IF(Outline!$C$14&gt;0,Gradesheet!#REF!,Gradesheet!#REF!)</f>
        <v>#REF!</v>
      </c>
      <c r="E71" s="138" t="e">
        <f>IF(Outline!$C$14&gt;0,Gradesheet!#REF!,Gradesheet!#REF!)</f>
        <v>#REF!</v>
      </c>
      <c r="F71" s="138" t="e">
        <f>IF(Outline!$C$14&gt;0,Gradesheet!#REF!,"NA")</f>
        <v>#REF!</v>
      </c>
      <c r="G71" s="138" t="e">
        <f>IF(Outline!$C$14&gt;0,Gradesheet!#REF!,Gradesheet!#REF!)</f>
        <v>#REF!</v>
      </c>
      <c r="H71" s="139" t="e">
        <f t="shared" si="0"/>
        <v>#REF!</v>
      </c>
    </row>
    <row r="72" spans="2:8" hidden="1" x14ac:dyDescent="0.25">
      <c r="B72" s="90" t="e">
        <f>Gradesheet!#REF!</f>
        <v>#REF!</v>
      </c>
      <c r="C72" s="91" t="e">
        <f>(Gradesheet!#REF!)</f>
        <v>#REF!</v>
      </c>
      <c r="D72" s="92" t="e">
        <f>IF(Outline!$C$14&gt;0,Gradesheet!#REF!,Gradesheet!#REF!)</f>
        <v>#REF!</v>
      </c>
      <c r="E72" s="138" t="e">
        <f>IF(Outline!$C$14&gt;0,Gradesheet!#REF!,Gradesheet!#REF!)</f>
        <v>#REF!</v>
      </c>
      <c r="F72" s="138" t="e">
        <f>IF(Outline!$C$14&gt;0,Gradesheet!#REF!,"NA")</f>
        <v>#REF!</v>
      </c>
      <c r="G72" s="138" t="e">
        <f>IF(Outline!$C$14&gt;0,Gradesheet!#REF!,Gradesheet!#REF!)</f>
        <v>#REF!</v>
      </c>
      <c r="H72" s="139" t="e">
        <f t="shared" si="0"/>
        <v>#REF!</v>
      </c>
    </row>
    <row r="73" spans="2:8" hidden="1" x14ac:dyDescent="0.25">
      <c r="B73" s="90" t="e">
        <f>Gradesheet!#REF!</f>
        <v>#REF!</v>
      </c>
      <c r="C73" s="91" t="e">
        <f>(Gradesheet!#REF!)</f>
        <v>#REF!</v>
      </c>
      <c r="D73" s="92" t="e">
        <f>IF(Outline!$C$14&gt;0,Gradesheet!#REF!,Gradesheet!#REF!)</f>
        <v>#REF!</v>
      </c>
      <c r="E73" s="138" t="e">
        <f>IF(Outline!$C$14&gt;0,Gradesheet!#REF!,Gradesheet!#REF!)</f>
        <v>#REF!</v>
      </c>
      <c r="F73" s="138" t="e">
        <f>IF(Outline!$C$14&gt;0,Gradesheet!#REF!,"NA")</f>
        <v>#REF!</v>
      </c>
      <c r="G73" s="138" t="e">
        <f>IF(Outline!$C$14&gt;0,Gradesheet!#REF!,Gradesheet!#REF!)</f>
        <v>#REF!</v>
      </c>
      <c r="H73" s="139" t="e">
        <f t="shared" si="0"/>
        <v>#REF!</v>
      </c>
    </row>
    <row r="74" spans="2:8" hidden="1" x14ac:dyDescent="0.25">
      <c r="B74" s="90" t="e">
        <f>Gradesheet!#REF!</f>
        <v>#REF!</v>
      </c>
      <c r="C74" s="91" t="e">
        <f>(Gradesheet!#REF!)</f>
        <v>#REF!</v>
      </c>
      <c r="D74" s="92" t="e">
        <f>IF(Outline!$C$14&gt;0,Gradesheet!#REF!,Gradesheet!#REF!)</f>
        <v>#REF!</v>
      </c>
      <c r="E74" s="138" t="e">
        <f>IF(Outline!$C$14&gt;0,Gradesheet!#REF!,Gradesheet!#REF!)</f>
        <v>#REF!</v>
      </c>
      <c r="F74" s="138" t="e">
        <f>IF(Outline!$C$14&gt;0,Gradesheet!#REF!,"NA")</f>
        <v>#REF!</v>
      </c>
      <c r="G74" s="138" t="e">
        <f>IF(Outline!$C$14&gt;0,Gradesheet!#REF!,Gradesheet!#REF!)</f>
        <v>#REF!</v>
      </c>
      <c r="H74" s="139" t="e">
        <f t="shared" si="0"/>
        <v>#REF!</v>
      </c>
    </row>
    <row r="75" spans="2:8" hidden="1" x14ac:dyDescent="0.25">
      <c r="B75" s="90" t="e">
        <f>Gradesheet!#REF!</f>
        <v>#REF!</v>
      </c>
      <c r="C75" s="91" t="e">
        <f>(Gradesheet!#REF!)</f>
        <v>#REF!</v>
      </c>
      <c r="D75" s="92" t="e">
        <f>IF(Outline!$C$14&gt;0,Gradesheet!#REF!,Gradesheet!#REF!)</f>
        <v>#REF!</v>
      </c>
      <c r="E75" s="138" t="e">
        <f>IF(Outline!$C$14&gt;0,Gradesheet!#REF!,Gradesheet!#REF!)</f>
        <v>#REF!</v>
      </c>
      <c r="F75" s="138" t="e">
        <f>IF(Outline!$C$14&gt;0,Gradesheet!#REF!,"NA")</f>
        <v>#REF!</v>
      </c>
      <c r="G75" s="138" t="e">
        <f>IF(Outline!$C$14&gt;0,Gradesheet!#REF!,Gradesheet!#REF!)</f>
        <v>#REF!</v>
      </c>
      <c r="H75" s="139" t="e">
        <f t="shared" si="0"/>
        <v>#REF!</v>
      </c>
    </row>
    <row r="76" spans="2:8" hidden="1" x14ac:dyDescent="0.25">
      <c r="B76" s="90" t="e">
        <f>Gradesheet!#REF!</f>
        <v>#REF!</v>
      </c>
      <c r="C76" s="91" t="e">
        <f>(Gradesheet!#REF!)</f>
        <v>#REF!</v>
      </c>
      <c r="D76" s="92" t="e">
        <f>IF(Outline!$C$14&gt;0,Gradesheet!#REF!,Gradesheet!#REF!)</f>
        <v>#REF!</v>
      </c>
      <c r="E76" s="138" t="e">
        <f>IF(Outline!$C$14&gt;0,Gradesheet!#REF!,Gradesheet!#REF!)</f>
        <v>#REF!</v>
      </c>
      <c r="F76" s="138" t="e">
        <f>IF(Outline!$C$14&gt;0,Gradesheet!#REF!,"NA")</f>
        <v>#REF!</v>
      </c>
      <c r="G76" s="138" t="e">
        <f>IF(Outline!$C$14&gt;0,Gradesheet!#REF!,Gradesheet!#REF!)</f>
        <v>#REF!</v>
      </c>
      <c r="H76" s="139" t="e">
        <f t="shared" ref="H76:H120" si="1">SUM(D76:G76)</f>
        <v>#REF!</v>
      </c>
    </row>
    <row r="77" spans="2:8" hidden="1" x14ac:dyDescent="0.25">
      <c r="B77" s="90" t="e">
        <f>Gradesheet!#REF!</f>
        <v>#REF!</v>
      </c>
      <c r="C77" s="91" t="e">
        <f>(Gradesheet!#REF!)</f>
        <v>#REF!</v>
      </c>
      <c r="D77" s="92" t="e">
        <f>IF(Outline!$C$14&gt;0,Gradesheet!#REF!,Gradesheet!#REF!)</f>
        <v>#REF!</v>
      </c>
      <c r="E77" s="138" t="e">
        <f>IF(Outline!$C$14&gt;0,Gradesheet!#REF!,Gradesheet!#REF!)</f>
        <v>#REF!</v>
      </c>
      <c r="F77" s="138" t="e">
        <f>IF(Outline!$C$14&gt;0,Gradesheet!#REF!,"NA")</f>
        <v>#REF!</v>
      </c>
      <c r="G77" s="138" t="e">
        <f>IF(Outline!$C$14&gt;0,Gradesheet!#REF!,Gradesheet!#REF!)</f>
        <v>#REF!</v>
      </c>
      <c r="H77" s="139" t="e">
        <f t="shared" si="1"/>
        <v>#REF!</v>
      </c>
    </row>
    <row r="78" spans="2:8" hidden="1" x14ac:dyDescent="0.25">
      <c r="B78" s="90" t="e">
        <f>Gradesheet!#REF!</f>
        <v>#REF!</v>
      </c>
      <c r="C78" s="91" t="e">
        <f>(Gradesheet!#REF!)</f>
        <v>#REF!</v>
      </c>
      <c r="D78" s="92" t="e">
        <f>IF(Outline!$C$14&gt;0,Gradesheet!#REF!,Gradesheet!#REF!)</f>
        <v>#REF!</v>
      </c>
      <c r="E78" s="138" t="e">
        <f>IF(Outline!$C$14&gt;0,Gradesheet!#REF!,Gradesheet!#REF!)</f>
        <v>#REF!</v>
      </c>
      <c r="F78" s="138" t="e">
        <f>IF(Outline!$C$14&gt;0,Gradesheet!#REF!,"NA")</f>
        <v>#REF!</v>
      </c>
      <c r="G78" s="138" t="e">
        <f>IF(Outline!$C$14&gt;0,Gradesheet!#REF!,Gradesheet!#REF!)</f>
        <v>#REF!</v>
      </c>
      <c r="H78" s="139" t="e">
        <f t="shared" si="1"/>
        <v>#REF!</v>
      </c>
    </row>
    <row r="79" spans="2:8" hidden="1" x14ac:dyDescent="0.25">
      <c r="B79" s="90" t="e">
        <f>Gradesheet!#REF!</f>
        <v>#REF!</v>
      </c>
      <c r="C79" s="91" t="e">
        <f>(Gradesheet!#REF!)</f>
        <v>#REF!</v>
      </c>
      <c r="D79" s="92" t="e">
        <f>IF(Outline!$C$14&gt;0,Gradesheet!#REF!,Gradesheet!#REF!)</f>
        <v>#REF!</v>
      </c>
      <c r="E79" s="138" t="e">
        <f>IF(Outline!$C$14&gt;0,Gradesheet!#REF!,Gradesheet!#REF!)</f>
        <v>#REF!</v>
      </c>
      <c r="F79" s="138" t="e">
        <f>IF(Outline!$C$14&gt;0,Gradesheet!#REF!,"NA")</f>
        <v>#REF!</v>
      </c>
      <c r="G79" s="138" t="e">
        <f>IF(Outline!$C$14&gt;0,Gradesheet!#REF!,Gradesheet!#REF!)</f>
        <v>#REF!</v>
      </c>
      <c r="H79" s="139" t="e">
        <f t="shared" si="1"/>
        <v>#REF!</v>
      </c>
    </row>
    <row r="80" spans="2:8" hidden="1" x14ac:dyDescent="0.25">
      <c r="B80" s="90" t="e">
        <f>Gradesheet!#REF!</f>
        <v>#REF!</v>
      </c>
      <c r="C80" s="91" t="e">
        <f>(Gradesheet!#REF!)</f>
        <v>#REF!</v>
      </c>
      <c r="D80" s="92" t="e">
        <f>IF(Outline!$C$14&gt;0,Gradesheet!#REF!,Gradesheet!#REF!)</f>
        <v>#REF!</v>
      </c>
      <c r="E80" s="138" t="e">
        <f>IF(Outline!$C$14&gt;0,Gradesheet!#REF!,Gradesheet!#REF!)</f>
        <v>#REF!</v>
      </c>
      <c r="F80" s="138" t="e">
        <f>IF(Outline!$C$14&gt;0,Gradesheet!#REF!,"NA")</f>
        <v>#REF!</v>
      </c>
      <c r="G80" s="138" t="e">
        <f>IF(Outline!$C$14&gt;0,Gradesheet!#REF!,Gradesheet!#REF!)</f>
        <v>#REF!</v>
      </c>
      <c r="H80" s="139" t="e">
        <f t="shared" si="1"/>
        <v>#REF!</v>
      </c>
    </row>
    <row r="81" spans="2:8" hidden="1" x14ac:dyDescent="0.25">
      <c r="B81" s="90" t="e">
        <f>Gradesheet!#REF!</f>
        <v>#REF!</v>
      </c>
      <c r="C81" s="91" t="e">
        <f>(Gradesheet!#REF!)</f>
        <v>#REF!</v>
      </c>
      <c r="D81" s="92" t="e">
        <f>IF(Outline!$C$14&gt;0,Gradesheet!#REF!,Gradesheet!#REF!)</f>
        <v>#REF!</v>
      </c>
      <c r="E81" s="138" t="e">
        <f>IF(Outline!$C$14&gt;0,Gradesheet!#REF!,Gradesheet!#REF!)</f>
        <v>#REF!</v>
      </c>
      <c r="F81" s="138" t="e">
        <f>IF(Outline!$C$14&gt;0,Gradesheet!#REF!,"NA")</f>
        <v>#REF!</v>
      </c>
      <c r="G81" s="138" t="e">
        <f>IF(Outline!$C$14&gt;0,Gradesheet!#REF!,Gradesheet!#REF!)</f>
        <v>#REF!</v>
      </c>
      <c r="H81" s="139" t="e">
        <f t="shared" si="1"/>
        <v>#REF!</v>
      </c>
    </row>
    <row r="82" spans="2:8" hidden="1" x14ac:dyDescent="0.25">
      <c r="B82" s="90" t="e">
        <f>Gradesheet!#REF!</f>
        <v>#REF!</v>
      </c>
      <c r="C82" s="91" t="e">
        <f>(Gradesheet!#REF!)</f>
        <v>#REF!</v>
      </c>
      <c r="D82" s="92" t="e">
        <f>IF(Outline!$C$14&gt;0,Gradesheet!#REF!,Gradesheet!#REF!)</f>
        <v>#REF!</v>
      </c>
      <c r="E82" s="138" t="e">
        <f>IF(Outline!$C$14&gt;0,Gradesheet!#REF!,Gradesheet!#REF!)</f>
        <v>#REF!</v>
      </c>
      <c r="F82" s="138" t="e">
        <f>IF(Outline!$C$14&gt;0,Gradesheet!#REF!,"NA")</f>
        <v>#REF!</v>
      </c>
      <c r="G82" s="138" t="e">
        <f>IF(Outline!$C$14&gt;0,Gradesheet!#REF!,Gradesheet!#REF!)</f>
        <v>#REF!</v>
      </c>
      <c r="H82" s="139" t="e">
        <f t="shared" si="1"/>
        <v>#REF!</v>
      </c>
    </row>
    <row r="83" spans="2:8" hidden="1" x14ac:dyDescent="0.25">
      <c r="B83" s="90" t="e">
        <f>Gradesheet!#REF!</f>
        <v>#REF!</v>
      </c>
      <c r="C83" s="91" t="e">
        <f>(Gradesheet!#REF!)</f>
        <v>#REF!</v>
      </c>
      <c r="D83" s="92" t="e">
        <f>IF(Outline!$C$14&gt;0,Gradesheet!#REF!,Gradesheet!#REF!)</f>
        <v>#REF!</v>
      </c>
      <c r="E83" s="138" t="e">
        <f>IF(Outline!$C$14&gt;0,Gradesheet!#REF!,Gradesheet!#REF!)</f>
        <v>#REF!</v>
      </c>
      <c r="F83" s="138" t="e">
        <f>IF(Outline!$C$14&gt;0,Gradesheet!#REF!,"NA")</f>
        <v>#REF!</v>
      </c>
      <c r="G83" s="138" t="e">
        <f>IF(Outline!$C$14&gt;0,Gradesheet!#REF!,Gradesheet!#REF!)</f>
        <v>#REF!</v>
      </c>
      <c r="H83" s="139" t="e">
        <f t="shared" si="1"/>
        <v>#REF!</v>
      </c>
    </row>
    <row r="84" spans="2:8" hidden="1" x14ac:dyDescent="0.25">
      <c r="B84" s="90" t="e">
        <f>Gradesheet!#REF!</f>
        <v>#REF!</v>
      </c>
      <c r="C84" s="91" t="e">
        <f>(Gradesheet!#REF!)</f>
        <v>#REF!</v>
      </c>
      <c r="D84" s="92" t="e">
        <f>IF(Outline!$C$14&gt;0,Gradesheet!#REF!,Gradesheet!#REF!)</f>
        <v>#REF!</v>
      </c>
      <c r="E84" s="138" t="e">
        <f>IF(Outline!$C$14&gt;0,Gradesheet!#REF!,Gradesheet!#REF!)</f>
        <v>#REF!</v>
      </c>
      <c r="F84" s="138" t="e">
        <f>IF(Outline!$C$14&gt;0,Gradesheet!#REF!,"NA")</f>
        <v>#REF!</v>
      </c>
      <c r="G84" s="138" t="e">
        <f>IF(Outline!$C$14&gt;0,Gradesheet!#REF!,Gradesheet!#REF!)</f>
        <v>#REF!</v>
      </c>
      <c r="H84" s="139" t="e">
        <f t="shared" si="1"/>
        <v>#REF!</v>
      </c>
    </row>
    <row r="85" spans="2:8" hidden="1" x14ac:dyDescent="0.25">
      <c r="B85" s="90" t="e">
        <f>Gradesheet!#REF!</f>
        <v>#REF!</v>
      </c>
      <c r="C85" s="91" t="e">
        <f>(Gradesheet!#REF!)</f>
        <v>#REF!</v>
      </c>
      <c r="D85" s="92" t="e">
        <f>IF(Outline!$C$14&gt;0,Gradesheet!#REF!,Gradesheet!#REF!)</f>
        <v>#REF!</v>
      </c>
      <c r="E85" s="138" t="e">
        <f>IF(Outline!$C$14&gt;0,Gradesheet!#REF!,Gradesheet!#REF!)</f>
        <v>#REF!</v>
      </c>
      <c r="F85" s="138" t="e">
        <f>IF(Outline!$C$14&gt;0,Gradesheet!#REF!,"NA")</f>
        <v>#REF!</v>
      </c>
      <c r="G85" s="138" t="e">
        <f>IF(Outline!$C$14&gt;0,Gradesheet!#REF!,Gradesheet!#REF!)</f>
        <v>#REF!</v>
      </c>
      <c r="H85" s="139" t="e">
        <f t="shared" si="1"/>
        <v>#REF!</v>
      </c>
    </row>
    <row r="86" spans="2:8" hidden="1" x14ac:dyDescent="0.25">
      <c r="B86" s="90" t="e">
        <f>Gradesheet!#REF!</f>
        <v>#REF!</v>
      </c>
      <c r="C86" s="91" t="e">
        <f>(Gradesheet!#REF!)</f>
        <v>#REF!</v>
      </c>
      <c r="D86" s="92" t="e">
        <f>IF(Outline!$C$14&gt;0,Gradesheet!#REF!,Gradesheet!#REF!)</f>
        <v>#REF!</v>
      </c>
      <c r="E86" s="138" t="e">
        <f>IF(Outline!$C$14&gt;0,Gradesheet!#REF!,Gradesheet!#REF!)</f>
        <v>#REF!</v>
      </c>
      <c r="F86" s="138" t="e">
        <f>IF(Outline!$C$14&gt;0,Gradesheet!#REF!,"NA")</f>
        <v>#REF!</v>
      </c>
      <c r="G86" s="138" t="e">
        <f>IF(Outline!$C$14&gt;0,Gradesheet!#REF!,Gradesheet!#REF!)</f>
        <v>#REF!</v>
      </c>
      <c r="H86" s="139" t="e">
        <f t="shared" si="1"/>
        <v>#REF!</v>
      </c>
    </row>
    <row r="87" spans="2:8" hidden="1" x14ac:dyDescent="0.25">
      <c r="B87" s="90" t="e">
        <f>Gradesheet!#REF!</f>
        <v>#REF!</v>
      </c>
      <c r="C87" s="91" t="e">
        <f>(Gradesheet!#REF!)</f>
        <v>#REF!</v>
      </c>
      <c r="D87" s="92" t="e">
        <f>IF(Outline!$C$14&gt;0,Gradesheet!#REF!,Gradesheet!#REF!)</f>
        <v>#REF!</v>
      </c>
      <c r="E87" s="138" t="e">
        <f>IF(Outline!$C$14&gt;0,Gradesheet!#REF!,Gradesheet!#REF!)</f>
        <v>#REF!</v>
      </c>
      <c r="F87" s="138" t="e">
        <f>IF(Outline!$C$14&gt;0,Gradesheet!#REF!,"NA")</f>
        <v>#REF!</v>
      </c>
      <c r="G87" s="138" t="e">
        <f>IF(Outline!$C$14&gt;0,Gradesheet!#REF!,Gradesheet!#REF!)</f>
        <v>#REF!</v>
      </c>
      <c r="H87" s="139" t="e">
        <f t="shared" si="1"/>
        <v>#REF!</v>
      </c>
    </row>
    <row r="88" spans="2:8" hidden="1" x14ac:dyDescent="0.25">
      <c r="B88" s="90" t="e">
        <f>Gradesheet!#REF!</f>
        <v>#REF!</v>
      </c>
      <c r="C88" s="91" t="e">
        <f>(Gradesheet!#REF!)</f>
        <v>#REF!</v>
      </c>
      <c r="D88" s="92" t="e">
        <f>IF(Outline!$C$14&gt;0,Gradesheet!#REF!,Gradesheet!#REF!)</f>
        <v>#REF!</v>
      </c>
      <c r="E88" s="138" t="e">
        <f>IF(Outline!$C$14&gt;0,Gradesheet!#REF!,Gradesheet!#REF!)</f>
        <v>#REF!</v>
      </c>
      <c r="F88" s="138" t="e">
        <f>IF(Outline!$C$14&gt;0,Gradesheet!#REF!,"NA")</f>
        <v>#REF!</v>
      </c>
      <c r="G88" s="138" t="e">
        <f>IF(Outline!$C$14&gt;0,Gradesheet!#REF!,Gradesheet!#REF!)</f>
        <v>#REF!</v>
      </c>
      <c r="H88" s="139" t="e">
        <f t="shared" si="1"/>
        <v>#REF!</v>
      </c>
    </row>
    <row r="89" spans="2:8" hidden="1" x14ac:dyDescent="0.25">
      <c r="B89" s="90" t="e">
        <f>Gradesheet!#REF!</f>
        <v>#REF!</v>
      </c>
      <c r="C89" s="91" t="e">
        <f>(Gradesheet!#REF!)</f>
        <v>#REF!</v>
      </c>
      <c r="D89" s="92" t="e">
        <f>IF(Outline!$C$14&gt;0,Gradesheet!#REF!,Gradesheet!#REF!)</f>
        <v>#REF!</v>
      </c>
      <c r="E89" s="138" t="e">
        <f>IF(Outline!$C$14&gt;0,Gradesheet!#REF!,Gradesheet!#REF!)</f>
        <v>#REF!</v>
      </c>
      <c r="F89" s="138" t="e">
        <f>IF(Outline!$C$14&gt;0,Gradesheet!#REF!,"NA")</f>
        <v>#REF!</v>
      </c>
      <c r="G89" s="138" t="e">
        <f>IF(Outline!$C$14&gt;0,Gradesheet!#REF!,Gradesheet!#REF!)</f>
        <v>#REF!</v>
      </c>
      <c r="H89" s="139" t="e">
        <f t="shared" si="1"/>
        <v>#REF!</v>
      </c>
    </row>
    <row r="90" spans="2:8" hidden="1" x14ac:dyDescent="0.25">
      <c r="B90" s="90" t="e">
        <f>Gradesheet!#REF!</f>
        <v>#REF!</v>
      </c>
      <c r="C90" s="91" t="e">
        <f>(Gradesheet!#REF!)</f>
        <v>#REF!</v>
      </c>
      <c r="D90" s="92" t="e">
        <f>IF(Outline!$C$14&gt;0,Gradesheet!#REF!,Gradesheet!#REF!)</f>
        <v>#REF!</v>
      </c>
      <c r="E90" s="138" t="e">
        <f>IF(Outline!$C$14&gt;0,Gradesheet!#REF!,Gradesheet!#REF!)</f>
        <v>#REF!</v>
      </c>
      <c r="F90" s="138" t="e">
        <f>IF(Outline!$C$14&gt;0,Gradesheet!#REF!,"NA")</f>
        <v>#REF!</v>
      </c>
      <c r="G90" s="138" t="e">
        <f>IF(Outline!$C$14&gt;0,Gradesheet!#REF!,Gradesheet!#REF!)</f>
        <v>#REF!</v>
      </c>
      <c r="H90" s="139" t="e">
        <f t="shared" si="1"/>
        <v>#REF!</v>
      </c>
    </row>
    <row r="91" spans="2:8" hidden="1" x14ac:dyDescent="0.25">
      <c r="B91" s="90" t="e">
        <f>Gradesheet!#REF!</f>
        <v>#REF!</v>
      </c>
      <c r="C91" s="91" t="e">
        <f>(Gradesheet!#REF!)</f>
        <v>#REF!</v>
      </c>
      <c r="D91" s="92" t="e">
        <f>IF(Outline!$C$14&gt;0,Gradesheet!#REF!,Gradesheet!#REF!)</f>
        <v>#REF!</v>
      </c>
      <c r="E91" s="138" t="e">
        <f>IF(Outline!$C$14&gt;0,Gradesheet!#REF!,Gradesheet!#REF!)</f>
        <v>#REF!</v>
      </c>
      <c r="F91" s="138" t="e">
        <f>IF(Outline!$C$14&gt;0,Gradesheet!#REF!,"NA")</f>
        <v>#REF!</v>
      </c>
      <c r="G91" s="138" t="e">
        <f>IF(Outline!$C$14&gt;0,Gradesheet!#REF!,Gradesheet!#REF!)</f>
        <v>#REF!</v>
      </c>
      <c r="H91" s="139" t="e">
        <f t="shared" si="1"/>
        <v>#REF!</v>
      </c>
    </row>
    <row r="92" spans="2:8" hidden="1" x14ac:dyDescent="0.25">
      <c r="B92" s="90" t="e">
        <f>Gradesheet!#REF!</f>
        <v>#REF!</v>
      </c>
      <c r="C92" s="91" t="e">
        <f>(Gradesheet!#REF!)</f>
        <v>#REF!</v>
      </c>
      <c r="D92" s="92" t="e">
        <f>IF(Outline!$C$14&gt;0,Gradesheet!#REF!,Gradesheet!#REF!)</f>
        <v>#REF!</v>
      </c>
      <c r="E92" s="138" t="e">
        <f>IF(Outline!$C$14&gt;0,Gradesheet!#REF!,Gradesheet!#REF!)</f>
        <v>#REF!</v>
      </c>
      <c r="F92" s="138" t="e">
        <f>IF(Outline!$C$14&gt;0,Gradesheet!#REF!,"NA")</f>
        <v>#REF!</v>
      </c>
      <c r="G92" s="138" t="e">
        <f>IF(Outline!$C$14&gt;0,Gradesheet!#REF!,Gradesheet!#REF!)</f>
        <v>#REF!</v>
      </c>
      <c r="H92" s="139" t="e">
        <f t="shared" si="1"/>
        <v>#REF!</v>
      </c>
    </row>
    <row r="93" spans="2:8" hidden="1" x14ac:dyDescent="0.25">
      <c r="B93" s="90" t="e">
        <f>Gradesheet!#REF!</f>
        <v>#REF!</v>
      </c>
      <c r="C93" s="91" t="e">
        <f>(Gradesheet!#REF!)</f>
        <v>#REF!</v>
      </c>
      <c r="D93" s="92" t="e">
        <f>IF(Outline!$C$14&gt;0,Gradesheet!#REF!,Gradesheet!#REF!)</f>
        <v>#REF!</v>
      </c>
      <c r="E93" s="138" t="e">
        <f>IF(Outline!$C$14&gt;0,Gradesheet!#REF!,Gradesheet!#REF!)</f>
        <v>#REF!</v>
      </c>
      <c r="F93" s="138" t="e">
        <f>IF(Outline!$C$14&gt;0,Gradesheet!#REF!,"NA")</f>
        <v>#REF!</v>
      </c>
      <c r="G93" s="138" t="e">
        <f>IF(Outline!$C$14&gt;0,Gradesheet!#REF!,Gradesheet!#REF!)</f>
        <v>#REF!</v>
      </c>
      <c r="H93" s="139" t="e">
        <f t="shared" si="1"/>
        <v>#REF!</v>
      </c>
    </row>
    <row r="94" spans="2:8" hidden="1" x14ac:dyDescent="0.25">
      <c r="B94" s="90" t="e">
        <f>Gradesheet!#REF!</f>
        <v>#REF!</v>
      </c>
      <c r="C94" s="91" t="e">
        <f>(Gradesheet!#REF!)</f>
        <v>#REF!</v>
      </c>
      <c r="D94" s="92" t="e">
        <f>IF(Outline!$C$14&gt;0,Gradesheet!#REF!,Gradesheet!#REF!)</f>
        <v>#REF!</v>
      </c>
      <c r="E94" s="138" t="e">
        <f>IF(Outline!$C$14&gt;0,Gradesheet!#REF!,Gradesheet!#REF!)</f>
        <v>#REF!</v>
      </c>
      <c r="F94" s="138" t="e">
        <f>IF(Outline!$C$14&gt;0,Gradesheet!#REF!,"NA")</f>
        <v>#REF!</v>
      </c>
      <c r="G94" s="138" t="e">
        <f>IF(Outline!$C$14&gt;0,Gradesheet!#REF!,Gradesheet!#REF!)</f>
        <v>#REF!</v>
      </c>
      <c r="H94" s="139" t="e">
        <f t="shared" si="1"/>
        <v>#REF!</v>
      </c>
    </row>
    <row r="95" spans="2:8" hidden="1" x14ac:dyDescent="0.25">
      <c r="B95" s="90" t="e">
        <f>Gradesheet!#REF!</f>
        <v>#REF!</v>
      </c>
      <c r="C95" s="91" t="e">
        <f>(Gradesheet!#REF!)</f>
        <v>#REF!</v>
      </c>
      <c r="D95" s="92" t="e">
        <f>IF(Outline!$C$14&gt;0,Gradesheet!#REF!,Gradesheet!#REF!)</f>
        <v>#REF!</v>
      </c>
      <c r="E95" s="138" t="e">
        <f>IF(Outline!$C$14&gt;0,Gradesheet!#REF!,Gradesheet!#REF!)</f>
        <v>#REF!</v>
      </c>
      <c r="F95" s="138" t="e">
        <f>IF(Outline!$C$14&gt;0,Gradesheet!#REF!,"NA")</f>
        <v>#REF!</v>
      </c>
      <c r="G95" s="138" t="e">
        <f>IF(Outline!$C$14&gt;0,Gradesheet!#REF!,Gradesheet!#REF!)</f>
        <v>#REF!</v>
      </c>
      <c r="H95" s="139" t="e">
        <f t="shared" si="1"/>
        <v>#REF!</v>
      </c>
    </row>
    <row r="96" spans="2:8" hidden="1" x14ac:dyDescent="0.25">
      <c r="B96" s="90" t="e">
        <f>Gradesheet!#REF!</f>
        <v>#REF!</v>
      </c>
      <c r="C96" s="91" t="e">
        <f>(Gradesheet!#REF!)</f>
        <v>#REF!</v>
      </c>
      <c r="D96" s="92" t="e">
        <f>IF(Outline!$C$14&gt;0,Gradesheet!#REF!,Gradesheet!#REF!)</f>
        <v>#REF!</v>
      </c>
      <c r="E96" s="138" t="e">
        <f>IF(Outline!$C$14&gt;0,Gradesheet!#REF!,Gradesheet!#REF!)</f>
        <v>#REF!</v>
      </c>
      <c r="F96" s="138" t="e">
        <f>IF(Outline!$C$14&gt;0,Gradesheet!#REF!,"NA")</f>
        <v>#REF!</v>
      </c>
      <c r="G96" s="138" t="e">
        <f>IF(Outline!$C$14&gt;0,Gradesheet!#REF!,Gradesheet!#REF!)</f>
        <v>#REF!</v>
      </c>
      <c r="H96" s="139" t="e">
        <f t="shared" si="1"/>
        <v>#REF!</v>
      </c>
    </row>
    <row r="97" spans="2:8" hidden="1" x14ac:dyDescent="0.25">
      <c r="B97" s="90" t="e">
        <f>Gradesheet!#REF!</f>
        <v>#REF!</v>
      </c>
      <c r="C97" s="91" t="e">
        <f>(Gradesheet!#REF!)</f>
        <v>#REF!</v>
      </c>
      <c r="D97" s="92" t="e">
        <f>IF(Outline!$C$14&gt;0,Gradesheet!#REF!,Gradesheet!#REF!)</f>
        <v>#REF!</v>
      </c>
      <c r="E97" s="138" t="e">
        <f>IF(Outline!$C$14&gt;0,Gradesheet!#REF!,Gradesheet!#REF!)</f>
        <v>#REF!</v>
      </c>
      <c r="F97" s="138" t="e">
        <f>IF(Outline!$C$14&gt;0,Gradesheet!#REF!,"NA")</f>
        <v>#REF!</v>
      </c>
      <c r="G97" s="138" t="e">
        <f>IF(Outline!$C$14&gt;0,Gradesheet!#REF!,Gradesheet!#REF!)</f>
        <v>#REF!</v>
      </c>
      <c r="H97" s="139" t="e">
        <f t="shared" si="1"/>
        <v>#REF!</v>
      </c>
    </row>
    <row r="98" spans="2:8" hidden="1" x14ac:dyDescent="0.25">
      <c r="B98" s="90" t="e">
        <f>Gradesheet!#REF!</f>
        <v>#REF!</v>
      </c>
      <c r="C98" s="91" t="e">
        <f>(Gradesheet!#REF!)</f>
        <v>#REF!</v>
      </c>
      <c r="D98" s="92" t="e">
        <f>IF(Outline!$C$14&gt;0,Gradesheet!#REF!,Gradesheet!#REF!)</f>
        <v>#REF!</v>
      </c>
      <c r="E98" s="138" t="e">
        <f>IF(Outline!$C$14&gt;0,Gradesheet!#REF!,Gradesheet!#REF!)</f>
        <v>#REF!</v>
      </c>
      <c r="F98" s="138" t="e">
        <f>IF(Outline!$C$14&gt;0,Gradesheet!#REF!,"NA")</f>
        <v>#REF!</v>
      </c>
      <c r="G98" s="138" t="e">
        <f>IF(Outline!$C$14&gt;0,Gradesheet!#REF!,Gradesheet!#REF!)</f>
        <v>#REF!</v>
      </c>
      <c r="H98" s="139" t="e">
        <f t="shared" si="1"/>
        <v>#REF!</v>
      </c>
    </row>
    <row r="99" spans="2:8" hidden="1" x14ac:dyDescent="0.25">
      <c r="B99" s="90" t="e">
        <f>Gradesheet!#REF!</f>
        <v>#REF!</v>
      </c>
      <c r="C99" s="91" t="e">
        <f>(Gradesheet!#REF!)</f>
        <v>#REF!</v>
      </c>
      <c r="D99" s="92" t="e">
        <f>IF(Outline!$C$14&gt;0,Gradesheet!#REF!,Gradesheet!#REF!)</f>
        <v>#REF!</v>
      </c>
      <c r="E99" s="138" t="e">
        <f>IF(Outline!$C$14&gt;0,Gradesheet!#REF!,Gradesheet!#REF!)</f>
        <v>#REF!</v>
      </c>
      <c r="F99" s="138" t="e">
        <f>IF(Outline!$C$14&gt;0,Gradesheet!#REF!,"NA")</f>
        <v>#REF!</v>
      </c>
      <c r="G99" s="138" t="e">
        <f>IF(Outline!$C$14&gt;0,Gradesheet!#REF!,Gradesheet!#REF!)</f>
        <v>#REF!</v>
      </c>
      <c r="H99" s="139" t="e">
        <f t="shared" si="1"/>
        <v>#REF!</v>
      </c>
    </row>
    <row r="100" spans="2:8" hidden="1" x14ac:dyDescent="0.25">
      <c r="B100" s="90" t="e">
        <f>Gradesheet!#REF!</f>
        <v>#REF!</v>
      </c>
      <c r="C100" s="91" t="e">
        <f>(Gradesheet!#REF!)</f>
        <v>#REF!</v>
      </c>
      <c r="D100" s="92" t="e">
        <f>IF(Outline!$C$14&gt;0,Gradesheet!#REF!,Gradesheet!#REF!)</f>
        <v>#REF!</v>
      </c>
      <c r="E100" s="138" t="e">
        <f>IF(Outline!$C$14&gt;0,Gradesheet!#REF!,Gradesheet!#REF!)</f>
        <v>#REF!</v>
      </c>
      <c r="F100" s="138" t="e">
        <f>IF(Outline!$C$14&gt;0,Gradesheet!#REF!,"NA")</f>
        <v>#REF!</v>
      </c>
      <c r="G100" s="138" t="e">
        <f>IF(Outline!$C$14&gt;0,Gradesheet!#REF!,Gradesheet!#REF!)</f>
        <v>#REF!</v>
      </c>
      <c r="H100" s="139" t="e">
        <f t="shared" si="1"/>
        <v>#REF!</v>
      </c>
    </row>
    <row r="101" spans="2:8" hidden="1" x14ac:dyDescent="0.25">
      <c r="B101" s="90" t="e">
        <f>Gradesheet!#REF!</f>
        <v>#REF!</v>
      </c>
      <c r="C101" s="91" t="e">
        <f>(Gradesheet!#REF!)</f>
        <v>#REF!</v>
      </c>
      <c r="D101" s="92" t="e">
        <f>IF(Outline!$C$14&gt;0,Gradesheet!#REF!,Gradesheet!#REF!)</f>
        <v>#REF!</v>
      </c>
      <c r="E101" s="138" t="e">
        <f>IF(Outline!$C$14&gt;0,Gradesheet!#REF!,Gradesheet!#REF!)</f>
        <v>#REF!</v>
      </c>
      <c r="F101" s="138" t="e">
        <f>IF(Outline!$C$14&gt;0,Gradesheet!#REF!,"NA")</f>
        <v>#REF!</v>
      </c>
      <c r="G101" s="138" t="e">
        <f>IF(Outline!$C$14&gt;0,Gradesheet!#REF!,Gradesheet!#REF!)</f>
        <v>#REF!</v>
      </c>
      <c r="H101" s="139" t="e">
        <f t="shared" si="1"/>
        <v>#REF!</v>
      </c>
    </row>
    <row r="102" spans="2:8" hidden="1" x14ac:dyDescent="0.25">
      <c r="B102" s="90" t="e">
        <f>Gradesheet!#REF!</f>
        <v>#REF!</v>
      </c>
      <c r="C102" s="91" t="e">
        <f>(Gradesheet!#REF!)</f>
        <v>#REF!</v>
      </c>
      <c r="D102" s="92" t="e">
        <f>IF(Outline!$C$14&gt;0,Gradesheet!#REF!,Gradesheet!#REF!)</f>
        <v>#REF!</v>
      </c>
      <c r="E102" s="138" t="e">
        <f>IF(Outline!$C$14&gt;0,Gradesheet!#REF!,Gradesheet!#REF!)</f>
        <v>#REF!</v>
      </c>
      <c r="F102" s="138" t="e">
        <f>IF(Outline!$C$14&gt;0,Gradesheet!#REF!,"NA")</f>
        <v>#REF!</v>
      </c>
      <c r="G102" s="138" t="e">
        <f>IF(Outline!$C$14&gt;0,Gradesheet!#REF!,Gradesheet!#REF!)</f>
        <v>#REF!</v>
      </c>
      <c r="H102" s="139" t="e">
        <f t="shared" si="1"/>
        <v>#REF!</v>
      </c>
    </row>
    <row r="103" spans="2:8" hidden="1" x14ac:dyDescent="0.25">
      <c r="B103" s="90" t="e">
        <f>Gradesheet!#REF!</f>
        <v>#REF!</v>
      </c>
      <c r="C103" s="91" t="e">
        <f>(Gradesheet!#REF!)</f>
        <v>#REF!</v>
      </c>
      <c r="D103" s="92" t="e">
        <f>IF(Outline!$C$14&gt;0,Gradesheet!#REF!,Gradesheet!#REF!)</f>
        <v>#REF!</v>
      </c>
      <c r="E103" s="138" t="e">
        <f>IF(Outline!$C$14&gt;0,Gradesheet!#REF!,Gradesheet!#REF!)</f>
        <v>#REF!</v>
      </c>
      <c r="F103" s="138" t="e">
        <f>IF(Outline!$C$14&gt;0,Gradesheet!#REF!,"NA")</f>
        <v>#REF!</v>
      </c>
      <c r="G103" s="138" t="e">
        <f>IF(Outline!$C$14&gt;0,Gradesheet!#REF!,Gradesheet!#REF!)</f>
        <v>#REF!</v>
      </c>
      <c r="H103" s="139" t="e">
        <f t="shared" si="1"/>
        <v>#REF!</v>
      </c>
    </row>
    <row r="104" spans="2:8" hidden="1" x14ac:dyDescent="0.25">
      <c r="B104" s="90" t="e">
        <f>Gradesheet!#REF!</f>
        <v>#REF!</v>
      </c>
      <c r="C104" s="91" t="e">
        <f>(Gradesheet!#REF!)</f>
        <v>#REF!</v>
      </c>
      <c r="D104" s="92" t="e">
        <f>IF(Outline!$C$14&gt;0,Gradesheet!#REF!,Gradesheet!#REF!)</f>
        <v>#REF!</v>
      </c>
      <c r="E104" s="138" t="e">
        <f>IF(Outline!$C$14&gt;0,Gradesheet!#REF!,Gradesheet!#REF!)</f>
        <v>#REF!</v>
      </c>
      <c r="F104" s="138" t="e">
        <f>IF(Outline!$C$14&gt;0,Gradesheet!#REF!,"NA")</f>
        <v>#REF!</v>
      </c>
      <c r="G104" s="138" t="e">
        <f>IF(Outline!$C$14&gt;0,Gradesheet!#REF!,Gradesheet!#REF!)</f>
        <v>#REF!</v>
      </c>
      <c r="H104" s="139" t="e">
        <f t="shared" si="1"/>
        <v>#REF!</v>
      </c>
    </row>
    <row r="105" spans="2:8" hidden="1" x14ac:dyDescent="0.25">
      <c r="B105" s="90" t="e">
        <f>Gradesheet!#REF!</f>
        <v>#REF!</v>
      </c>
      <c r="C105" s="91" t="e">
        <f>(Gradesheet!#REF!)</f>
        <v>#REF!</v>
      </c>
      <c r="D105" s="92" t="e">
        <f>IF(Outline!$C$14&gt;0,Gradesheet!#REF!,Gradesheet!#REF!)</f>
        <v>#REF!</v>
      </c>
      <c r="E105" s="138" t="e">
        <f>IF(Outline!$C$14&gt;0,Gradesheet!#REF!,Gradesheet!#REF!)</f>
        <v>#REF!</v>
      </c>
      <c r="F105" s="138" t="e">
        <f>IF(Outline!$C$14&gt;0,Gradesheet!#REF!,"NA")</f>
        <v>#REF!</v>
      </c>
      <c r="G105" s="138" t="e">
        <f>IF(Outline!$C$14&gt;0,Gradesheet!#REF!,Gradesheet!#REF!)</f>
        <v>#REF!</v>
      </c>
      <c r="H105" s="139" t="e">
        <f t="shared" si="1"/>
        <v>#REF!</v>
      </c>
    </row>
    <row r="106" spans="2:8" hidden="1" x14ac:dyDescent="0.25">
      <c r="B106" s="90" t="e">
        <f>Gradesheet!#REF!</f>
        <v>#REF!</v>
      </c>
      <c r="C106" s="91" t="e">
        <f>(Gradesheet!#REF!)</f>
        <v>#REF!</v>
      </c>
      <c r="D106" s="92" t="e">
        <f>IF(Outline!$C$14&gt;0,Gradesheet!#REF!,Gradesheet!#REF!)</f>
        <v>#REF!</v>
      </c>
      <c r="E106" s="138" t="e">
        <f>IF(Outline!$C$14&gt;0,Gradesheet!#REF!,Gradesheet!#REF!)</f>
        <v>#REF!</v>
      </c>
      <c r="F106" s="138" t="e">
        <f>IF(Outline!$C$14&gt;0,Gradesheet!#REF!,"NA")</f>
        <v>#REF!</v>
      </c>
      <c r="G106" s="138" t="e">
        <f>IF(Outline!$C$14&gt;0,Gradesheet!#REF!,Gradesheet!#REF!)</f>
        <v>#REF!</v>
      </c>
      <c r="H106" s="139" t="e">
        <f t="shared" si="1"/>
        <v>#REF!</v>
      </c>
    </row>
    <row r="107" spans="2:8" hidden="1" x14ac:dyDescent="0.25">
      <c r="B107" s="90" t="e">
        <f>Gradesheet!#REF!</f>
        <v>#REF!</v>
      </c>
      <c r="C107" s="91" t="e">
        <f>(Gradesheet!#REF!)</f>
        <v>#REF!</v>
      </c>
      <c r="D107" s="92" t="e">
        <f>IF(Outline!$C$14&gt;0,Gradesheet!#REF!,Gradesheet!#REF!)</f>
        <v>#REF!</v>
      </c>
      <c r="E107" s="138" t="e">
        <f>IF(Outline!$C$14&gt;0,Gradesheet!#REF!,Gradesheet!#REF!)</f>
        <v>#REF!</v>
      </c>
      <c r="F107" s="138" t="e">
        <f>IF(Outline!$C$14&gt;0,Gradesheet!#REF!,"NA")</f>
        <v>#REF!</v>
      </c>
      <c r="G107" s="138" t="e">
        <f>IF(Outline!$C$14&gt;0,Gradesheet!#REF!,Gradesheet!#REF!)</f>
        <v>#REF!</v>
      </c>
      <c r="H107" s="139" t="e">
        <f t="shared" si="1"/>
        <v>#REF!</v>
      </c>
    </row>
    <row r="108" spans="2:8" hidden="1" x14ac:dyDescent="0.25">
      <c r="B108" s="90" t="e">
        <f>Gradesheet!#REF!</f>
        <v>#REF!</v>
      </c>
      <c r="C108" s="91" t="e">
        <f>(Gradesheet!#REF!)</f>
        <v>#REF!</v>
      </c>
      <c r="D108" s="92" t="e">
        <f>IF(Outline!$C$14&gt;0,Gradesheet!#REF!,Gradesheet!#REF!)</f>
        <v>#REF!</v>
      </c>
      <c r="E108" s="138" t="e">
        <f>IF(Outline!$C$14&gt;0,Gradesheet!#REF!,Gradesheet!#REF!)</f>
        <v>#REF!</v>
      </c>
      <c r="F108" s="138" t="e">
        <f>IF(Outline!$C$14&gt;0,Gradesheet!#REF!,"NA")</f>
        <v>#REF!</v>
      </c>
      <c r="G108" s="138" t="e">
        <f>IF(Outline!$C$14&gt;0,Gradesheet!#REF!,Gradesheet!#REF!)</f>
        <v>#REF!</v>
      </c>
      <c r="H108" s="139" t="e">
        <f t="shared" si="1"/>
        <v>#REF!</v>
      </c>
    </row>
    <row r="109" spans="2:8" hidden="1" x14ac:dyDescent="0.25">
      <c r="B109" s="90" t="e">
        <f>Gradesheet!#REF!</f>
        <v>#REF!</v>
      </c>
      <c r="C109" s="91" t="e">
        <f>(Gradesheet!#REF!)</f>
        <v>#REF!</v>
      </c>
      <c r="D109" s="92" t="e">
        <f>IF(Outline!$C$14&gt;0,Gradesheet!#REF!,Gradesheet!#REF!)</f>
        <v>#REF!</v>
      </c>
      <c r="E109" s="138" t="e">
        <f>IF(Outline!$C$14&gt;0,Gradesheet!#REF!,Gradesheet!#REF!)</f>
        <v>#REF!</v>
      </c>
      <c r="F109" s="138" t="e">
        <f>IF(Outline!$C$14&gt;0,Gradesheet!#REF!,"NA")</f>
        <v>#REF!</v>
      </c>
      <c r="G109" s="138" t="e">
        <f>IF(Outline!$C$14&gt;0,Gradesheet!#REF!,Gradesheet!#REF!)</f>
        <v>#REF!</v>
      </c>
      <c r="H109" s="139" t="e">
        <f t="shared" si="1"/>
        <v>#REF!</v>
      </c>
    </row>
    <row r="110" spans="2:8" hidden="1" x14ac:dyDescent="0.25">
      <c r="B110" s="90" t="e">
        <f>Gradesheet!#REF!</f>
        <v>#REF!</v>
      </c>
      <c r="C110" s="91" t="e">
        <f>(Gradesheet!#REF!)</f>
        <v>#REF!</v>
      </c>
      <c r="D110" s="92" t="e">
        <f>IF(Outline!$C$14&gt;0,Gradesheet!#REF!,Gradesheet!#REF!)</f>
        <v>#REF!</v>
      </c>
      <c r="E110" s="138" t="e">
        <f>IF(Outline!$C$14&gt;0,Gradesheet!#REF!,Gradesheet!#REF!)</f>
        <v>#REF!</v>
      </c>
      <c r="F110" s="138" t="e">
        <f>IF(Outline!$C$14&gt;0,Gradesheet!#REF!,"NA")</f>
        <v>#REF!</v>
      </c>
      <c r="G110" s="138" t="e">
        <f>IF(Outline!$C$14&gt;0,Gradesheet!#REF!,Gradesheet!#REF!)</f>
        <v>#REF!</v>
      </c>
      <c r="H110" s="139" t="e">
        <f t="shared" si="1"/>
        <v>#REF!</v>
      </c>
    </row>
    <row r="111" spans="2:8" hidden="1" x14ac:dyDescent="0.25">
      <c r="B111" s="90" t="e">
        <f>Gradesheet!#REF!</f>
        <v>#REF!</v>
      </c>
      <c r="C111" s="91" t="e">
        <f>(Gradesheet!#REF!)</f>
        <v>#REF!</v>
      </c>
      <c r="D111" s="92" t="e">
        <f>IF(Outline!$C$14&gt;0,Gradesheet!#REF!,Gradesheet!#REF!)</f>
        <v>#REF!</v>
      </c>
      <c r="E111" s="138" t="e">
        <f>IF(Outline!$C$14&gt;0,Gradesheet!#REF!,Gradesheet!#REF!)</f>
        <v>#REF!</v>
      </c>
      <c r="F111" s="138" t="e">
        <f>IF(Outline!$C$14&gt;0,Gradesheet!#REF!,"NA")</f>
        <v>#REF!</v>
      </c>
      <c r="G111" s="138" t="e">
        <f>IF(Outline!$C$14&gt;0,Gradesheet!#REF!,Gradesheet!#REF!)</f>
        <v>#REF!</v>
      </c>
      <c r="H111" s="139" t="e">
        <f t="shared" si="1"/>
        <v>#REF!</v>
      </c>
    </row>
    <row r="112" spans="2:8" hidden="1" x14ac:dyDescent="0.25">
      <c r="B112" s="90" t="e">
        <f>Gradesheet!#REF!</f>
        <v>#REF!</v>
      </c>
      <c r="C112" s="91" t="e">
        <f>(Gradesheet!#REF!)</f>
        <v>#REF!</v>
      </c>
      <c r="D112" s="92" t="e">
        <f>IF(Outline!$C$14&gt;0,Gradesheet!#REF!,Gradesheet!#REF!)</f>
        <v>#REF!</v>
      </c>
      <c r="E112" s="138" t="e">
        <f>IF(Outline!$C$14&gt;0,Gradesheet!#REF!,Gradesheet!#REF!)</f>
        <v>#REF!</v>
      </c>
      <c r="F112" s="138" t="e">
        <f>IF(Outline!$C$14&gt;0,Gradesheet!#REF!,"NA")</f>
        <v>#REF!</v>
      </c>
      <c r="G112" s="138" t="e">
        <f>IF(Outline!$C$14&gt;0,Gradesheet!#REF!,Gradesheet!#REF!)</f>
        <v>#REF!</v>
      </c>
      <c r="H112" s="139" t="e">
        <f t="shared" si="1"/>
        <v>#REF!</v>
      </c>
    </row>
    <row r="113" spans="2:8" hidden="1" x14ac:dyDescent="0.25">
      <c r="B113" s="90" t="e">
        <f>Gradesheet!#REF!</f>
        <v>#REF!</v>
      </c>
      <c r="C113" s="91" t="e">
        <f>(Gradesheet!#REF!)</f>
        <v>#REF!</v>
      </c>
      <c r="D113" s="92" t="e">
        <f>IF(Outline!$C$14&gt;0,Gradesheet!#REF!,Gradesheet!#REF!)</f>
        <v>#REF!</v>
      </c>
      <c r="E113" s="138" t="e">
        <f>IF(Outline!$C$14&gt;0,Gradesheet!#REF!,Gradesheet!#REF!)</f>
        <v>#REF!</v>
      </c>
      <c r="F113" s="138" t="e">
        <f>IF(Outline!$C$14&gt;0,Gradesheet!#REF!,"NA")</f>
        <v>#REF!</v>
      </c>
      <c r="G113" s="138" t="e">
        <f>IF(Outline!$C$14&gt;0,Gradesheet!#REF!,Gradesheet!#REF!)</f>
        <v>#REF!</v>
      </c>
      <c r="H113" s="139" t="e">
        <f t="shared" si="1"/>
        <v>#REF!</v>
      </c>
    </row>
    <row r="114" spans="2:8" hidden="1" x14ac:dyDescent="0.25">
      <c r="B114" s="90" t="e">
        <f>Gradesheet!#REF!</f>
        <v>#REF!</v>
      </c>
      <c r="C114" s="91" t="e">
        <f>(Gradesheet!#REF!)</f>
        <v>#REF!</v>
      </c>
      <c r="D114" s="92" t="e">
        <f>IF(Outline!$C$14&gt;0,Gradesheet!#REF!,Gradesheet!#REF!)</f>
        <v>#REF!</v>
      </c>
      <c r="E114" s="138" t="e">
        <f>IF(Outline!$C$14&gt;0,Gradesheet!#REF!,Gradesheet!#REF!)</f>
        <v>#REF!</v>
      </c>
      <c r="F114" s="138" t="e">
        <f>IF(Outline!$C$14&gt;0,Gradesheet!#REF!,"NA")</f>
        <v>#REF!</v>
      </c>
      <c r="G114" s="138" t="e">
        <f>IF(Outline!$C$14&gt;0,Gradesheet!#REF!,Gradesheet!#REF!)</f>
        <v>#REF!</v>
      </c>
      <c r="H114" s="139" t="e">
        <f t="shared" si="1"/>
        <v>#REF!</v>
      </c>
    </row>
    <row r="115" spans="2:8" hidden="1" x14ac:dyDescent="0.25">
      <c r="B115" s="90" t="e">
        <f>Gradesheet!#REF!</f>
        <v>#REF!</v>
      </c>
      <c r="C115" s="91" t="e">
        <f>(Gradesheet!#REF!)</f>
        <v>#REF!</v>
      </c>
      <c r="D115" s="92" t="e">
        <f>IF(Outline!$C$14&gt;0,Gradesheet!#REF!,Gradesheet!#REF!)</f>
        <v>#REF!</v>
      </c>
      <c r="E115" s="138" t="e">
        <f>IF(Outline!$C$14&gt;0,Gradesheet!#REF!,Gradesheet!#REF!)</f>
        <v>#REF!</v>
      </c>
      <c r="F115" s="138" t="e">
        <f>IF(Outline!$C$14&gt;0,Gradesheet!#REF!,"NA")</f>
        <v>#REF!</v>
      </c>
      <c r="G115" s="138" t="e">
        <f>IF(Outline!$C$14&gt;0,Gradesheet!#REF!,Gradesheet!#REF!)</f>
        <v>#REF!</v>
      </c>
      <c r="H115" s="139" t="e">
        <f t="shared" si="1"/>
        <v>#REF!</v>
      </c>
    </row>
    <row r="116" spans="2:8" hidden="1" x14ac:dyDescent="0.25">
      <c r="B116" s="90" t="e">
        <f>Gradesheet!#REF!</f>
        <v>#REF!</v>
      </c>
      <c r="C116" s="91" t="e">
        <f>(Gradesheet!#REF!)</f>
        <v>#REF!</v>
      </c>
      <c r="D116" s="92" t="e">
        <f>IF(Outline!$C$14&gt;0,Gradesheet!#REF!,Gradesheet!#REF!)</f>
        <v>#REF!</v>
      </c>
      <c r="E116" s="138" t="e">
        <f>IF(Outline!$C$14&gt;0,Gradesheet!#REF!,Gradesheet!#REF!)</f>
        <v>#REF!</v>
      </c>
      <c r="F116" s="138" t="e">
        <f>IF(Outline!$C$14&gt;0,Gradesheet!#REF!,"NA")</f>
        <v>#REF!</v>
      </c>
      <c r="G116" s="138" t="e">
        <f>IF(Outline!$C$14&gt;0,Gradesheet!#REF!,Gradesheet!#REF!)</f>
        <v>#REF!</v>
      </c>
      <c r="H116" s="139" t="e">
        <f t="shared" si="1"/>
        <v>#REF!</v>
      </c>
    </row>
    <row r="117" spans="2:8" hidden="1" x14ac:dyDescent="0.25">
      <c r="B117" s="90" t="e">
        <f>Gradesheet!#REF!</f>
        <v>#REF!</v>
      </c>
      <c r="C117" s="91" t="e">
        <f>(Gradesheet!#REF!)</f>
        <v>#REF!</v>
      </c>
      <c r="D117" s="92" t="e">
        <f>IF(Outline!$C$14&gt;0,Gradesheet!#REF!,Gradesheet!#REF!)</f>
        <v>#REF!</v>
      </c>
      <c r="E117" s="138" t="e">
        <f>IF(Outline!$C$14&gt;0,Gradesheet!#REF!,Gradesheet!#REF!)</f>
        <v>#REF!</v>
      </c>
      <c r="F117" s="138" t="e">
        <f>IF(Outline!$C$14&gt;0,Gradesheet!#REF!,"NA")</f>
        <v>#REF!</v>
      </c>
      <c r="G117" s="138" t="e">
        <f>IF(Outline!$C$14&gt;0,Gradesheet!#REF!,Gradesheet!#REF!)</f>
        <v>#REF!</v>
      </c>
      <c r="H117" s="139" t="e">
        <f t="shared" si="1"/>
        <v>#REF!</v>
      </c>
    </row>
    <row r="118" spans="2:8" hidden="1" x14ac:dyDescent="0.25">
      <c r="B118" s="90" t="e">
        <f>Gradesheet!#REF!</f>
        <v>#REF!</v>
      </c>
      <c r="C118" s="91" t="e">
        <f>(Gradesheet!#REF!)</f>
        <v>#REF!</v>
      </c>
      <c r="D118" s="92" t="e">
        <f>IF(Outline!$C$14&gt;0,Gradesheet!#REF!,Gradesheet!#REF!)</f>
        <v>#REF!</v>
      </c>
      <c r="E118" s="138" t="e">
        <f>IF(Outline!$C$14&gt;0,Gradesheet!#REF!,Gradesheet!#REF!)</f>
        <v>#REF!</v>
      </c>
      <c r="F118" s="138" t="e">
        <f>IF(Outline!$C$14&gt;0,Gradesheet!#REF!,"NA")</f>
        <v>#REF!</v>
      </c>
      <c r="G118" s="138" t="e">
        <f>IF(Outline!$C$14&gt;0,Gradesheet!#REF!,Gradesheet!#REF!)</f>
        <v>#REF!</v>
      </c>
      <c r="H118" s="139" t="e">
        <f t="shared" si="1"/>
        <v>#REF!</v>
      </c>
    </row>
    <row r="119" spans="2:8" hidden="1" x14ac:dyDescent="0.25">
      <c r="B119" s="90" t="e">
        <f>Gradesheet!#REF!</f>
        <v>#REF!</v>
      </c>
      <c r="C119" s="91" t="e">
        <f>(Gradesheet!#REF!)</f>
        <v>#REF!</v>
      </c>
      <c r="D119" s="92" t="e">
        <f>IF(Outline!$C$14&gt;0,Gradesheet!#REF!,Gradesheet!#REF!)</f>
        <v>#REF!</v>
      </c>
      <c r="E119" s="138" t="e">
        <f>IF(Outline!$C$14&gt;0,Gradesheet!#REF!,Gradesheet!#REF!)</f>
        <v>#REF!</v>
      </c>
      <c r="F119" s="138" t="e">
        <f>IF(Outline!$C$14&gt;0,Gradesheet!#REF!,"NA")</f>
        <v>#REF!</v>
      </c>
      <c r="G119" s="138" t="e">
        <f>IF(Outline!$C$14&gt;0,Gradesheet!#REF!,Gradesheet!#REF!)</f>
        <v>#REF!</v>
      </c>
      <c r="H119" s="139" t="e">
        <f t="shared" si="1"/>
        <v>#REF!</v>
      </c>
    </row>
    <row r="120" spans="2:8" hidden="1" x14ac:dyDescent="0.25">
      <c r="B120" s="90" t="e">
        <f>Gradesheet!#REF!</f>
        <v>#REF!</v>
      </c>
      <c r="C120" s="91" t="e">
        <f>(Gradesheet!#REF!)</f>
        <v>#REF!</v>
      </c>
      <c r="D120" s="92" t="e">
        <f>IF(Outline!$C$14&gt;0,Gradesheet!#REF!,Gradesheet!#REF!)</f>
        <v>#REF!</v>
      </c>
      <c r="E120" s="138" t="e">
        <f>IF(Outline!$C$14&gt;0,Gradesheet!#REF!,Gradesheet!#REF!)</f>
        <v>#REF!</v>
      </c>
      <c r="F120" s="138" t="e">
        <f>IF(Outline!$C$14&gt;0,Gradesheet!#REF!,"NA")</f>
        <v>#REF!</v>
      </c>
      <c r="G120" s="138" t="e">
        <f>IF(Outline!$C$14&gt;0,Gradesheet!#REF!,Gradesheet!#REF!)</f>
        <v>#REF!</v>
      </c>
      <c r="H120" s="139" t="e">
        <f t="shared" si="1"/>
        <v>#REF!</v>
      </c>
    </row>
    <row r="121" spans="2:8" hidden="1" x14ac:dyDescent="0.25">
      <c r="B121" s="90" t="e">
        <f>Gradesheet!#REF!</f>
        <v>#REF!</v>
      </c>
      <c r="C121" s="91" t="e">
        <f>(Gradesheet!#REF!)</f>
        <v>#REF!</v>
      </c>
      <c r="D121" s="92" t="e">
        <f>IF(Outline!$C$14&gt;0,Gradesheet!#REF!,Gradesheet!#REF!)</f>
        <v>#REF!</v>
      </c>
      <c r="E121" s="138" t="e">
        <f>IF(Outline!$C$14&gt;0,Gradesheet!#REF!,Gradesheet!#REF!)</f>
        <v>#REF!</v>
      </c>
      <c r="F121" s="138" t="e">
        <f>IF(Outline!$C$14&gt;0,Gradesheet!#REF!,"NA")</f>
        <v>#REF!</v>
      </c>
      <c r="G121" s="138" t="e">
        <f>IF(Outline!$C$14&gt;0,Gradesheet!#REF!,Gradesheet!#REF!)</f>
        <v>#REF!</v>
      </c>
      <c r="H121" s="139" t="e">
        <f t="shared" ref="H121:H134" si="2">SUM(D121:G121)</f>
        <v>#REF!</v>
      </c>
    </row>
    <row r="122" spans="2:8" hidden="1" x14ac:dyDescent="0.25">
      <c r="B122" s="90" t="e">
        <f>Gradesheet!#REF!</f>
        <v>#REF!</v>
      </c>
      <c r="C122" s="91" t="e">
        <f>(Gradesheet!#REF!)</f>
        <v>#REF!</v>
      </c>
      <c r="D122" s="92" t="e">
        <f>IF(Outline!$C$14&gt;0,Gradesheet!#REF!,Gradesheet!#REF!)</f>
        <v>#REF!</v>
      </c>
      <c r="E122" s="138" t="e">
        <f>IF(Outline!$C$14&gt;0,Gradesheet!#REF!,Gradesheet!#REF!)</f>
        <v>#REF!</v>
      </c>
      <c r="F122" s="138" t="e">
        <f>IF(Outline!$C$14&gt;0,Gradesheet!#REF!,"NA")</f>
        <v>#REF!</v>
      </c>
      <c r="G122" s="138" t="e">
        <f>IF(Outline!$C$14&gt;0,Gradesheet!#REF!,Gradesheet!#REF!)</f>
        <v>#REF!</v>
      </c>
      <c r="H122" s="139" t="e">
        <f t="shared" si="2"/>
        <v>#REF!</v>
      </c>
    </row>
    <row r="123" spans="2:8" hidden="1" x14ac:dyDescent="0.25">
      <c r="B123" s="90" t="e">
        <f>Gradesheet!#REF!</f>
        <v>#REF!</v>
      </c>
      <c r="C123" s="91" t="e">
        <f>(Gradesheet!#REF!)</f>
        <v>#REF!</v>
      </c>
      <c r="D123" s="92" t="e">
        <f>IF(Outline!$C$14&gt;0,Gradesheet!#REF!,Gradesheet!#REF!)</f>
        <v>#REF!</v>
      </c>
      <c r="E123" s="138" t="e">
        <f>IF(Outline!$C$14&gt;0,Gradesheet!#REF!,Gradesheet!#REF!)</f>
        <v>#REF!</v>
      </c>
      <c r="F123" s="138" t="e">
        <f>IF(Outline!$C$14&gt;0,Gradesheet!#REF!,"NA")</f>
        <v>#REF!</v>
      </c>
      <c r="G123" s="138" t="e">
        <f>IF(Outline!$C$14&gt;0,Gradesheet!#REF!,Gradesheet!#REF!)</f>
        <v>#REF!</v>
      </c>
      <c r="H123" s="139" t="e">
        <f t="shared" si="2"/>
        <v>#REF!</v>
      </c>
    </row>
    <row r="124" spans="2:8" hidden="1" x14ac:dyDescent="0.25">
      <c r="B124" s="90" t="e">
        <f>Gradesheet!#REF!</f>
        <v>#REF!</v>
      </c>
      <c r="C124" s="91" t="e">
        <f>(Gradesheet!#REF!)</f>
        <v>#REF!</v>
      </c>
      <c r="D124" s="92" t="e">
        <f>IF(Outline!$C$14&gt;0,Gradesheet!#REF!,Gradesheet!#REF!)</f>
        <v>#REF!</v>
      </c>
      <c r="E124" s="138" t="e">
        <f>IF(Outline!$C$14&gt;0,Gradesheet!#REF!,Gradesheet!#REF!)</f>
        <v>#REF!</v>
      </c>
      <c r="F124" s="138" t="e">
        <f>IF(Outline!$C$14&gt;0,Gradesheet!#REF!,"NA")</f>
        <v>#REF!</v>
      </c>
      <c r="G124" s="138" t="e">
        <f>IF(Outline!$C$14&gt;0,Gradesheet!#REF!,Gradesheet!#REF!)</f>
        <v>#REF!</v>
      </c>
      <c r="H124" s="139" t="e">
        <f t="shared" si="2"/>
        <v>#REF!</v>
      </c>
    </row>
    <row r="125" spans="2:8" hidden="1" x14ac:dyDescent="0.25">
      <c r="B125" s="90" t="e">
        <f>Gradesheet!#REF!</f>
        <v>#REF!</v>
      </c>
      <c r="C125" s="91" t="e">
        <f>(Gradesheet!#REF!)</f>
        <v>#REF!</v>
      </c>
      <c r="D125" s="92" t="e">
        <f>IF(Outline!$C$14&gt;0,Gradesheet!#REF!,Gradesheet!#REF!)</f>
        <v>#REF!</v>
      </c>
      <c r="E125" s="138" t="e">
        <f>IF(Outline!$C$14&gt;0,Gradesheet!#REF!,Gradesheet!#REF!)</f>
        <v>#REF!</v>
      </c>
      <c r="F125" s="138" t="e">
        <f>IF(Outline!$C$14&gt;0,Gradesheet!#REF!,"NA")</f>
        <v>#REF!</v>
      </c>
      <c r="G125" s="138" t="e">
        <f>IF(Outline!$C$14&gt;0,Gradesheet!#REF!,Gradesheet!#REF!)</f>
        <v>#REF!</v>
      </c>
      <c r="H125" s="139" t="e">
        <f t="shared" si="2"/>
        <v>#REF!</v>
      </c>
    </row>
    <row r="126" spans="2:8" hidden="1" x14ac:dyDescent="0.25">
      <c r="B126" s="90" t="e">
        <f>Gradesheet!#REF!</f>
        <v>#REF!</v>
      </c>
      <c r="C126" s="91" t="e">
        <f>(Gradesheet!#REF!)</f>
        <v>#REF!</v>
      </c>
      <c r="D126" s="92" t="e">
        <f>IF(Outline!$C$14&gt;0,Gradesheet!#REF!,Gradesheet!#REF!)</f>
        <v>#REF!</v>
      </c>
      <c r="E126" s="138" t="e">
        <f>IF(Outline!$C$14&gt;0,Gradesheet!#REF!,Gradesheet!#REF!)</f>
        <v>#REF!</v>
      </c>
      <c r="F126" s="138" t="e">
        <f>IF(Outline!$C$14&gt;0,Gradesheet!#REF!,"NA")</f>
        <v>#REF!</v>
      </c>
      <c r="G126" s="138" t="e">
        <f>IF(Outline!$C$14&gt;0,Gradesheet!#REF!,Gradesheet!#REF!)</f>
        <v>#REF!</v>
      </c>
      <c r="H126" s="139" t="e">
        <f t="shared" si="2"/>
        <v>#REF!</v>
      </c>
    </row>
    <row r="127" spans="2:8" hidden="1" x14ac:dyDescent="0.25">
      <c r="B127" s="90" t="e">
        <f>Gradesheet!#REF!</f>
        <v>#REF!</v>
      </c>
      <c r="C127" s="91" t="e">
        <f>(Gradesheet!#REF!)</f>
        <v>#REF!</v>
      </c>
      <c r="D127" s="92" t="e">
        <f>IF(Outline!$C$14&gt;0,Gradesheet!#REF!,Gradesheet!#REF!)</f>
        <v>#REF!</v>
      </c>
      <c r="E127" s="138" t="e">
        <f>IF(Outline!$C$14&gt;0,Gradesheet!#REF!,Gradesheet!#REF!)</f>
        <v>#REF!</v>
      </c>
      <c r="F127" s="138" t="e">
        <f>IF(Outline!$C$14&gt;0,Gradesheet!#REF!,"NA")</f>
        <v>#REF!</v>
      </c>
      <c r="G127" s="138" t="e">
        <f>IF(Outline!$C$14&gt;0,Gradesheet!#REF!,Gradesheet!#REF!)</f>
        <v>#REF!</v>
      </c>
      <c r="H127" s="139" t="e">
        <f t="shared" si="2"/>
        <v>#REF!</v>
      </c>
    </row>
    <row r="128" spans="2:8" hidden="1" x14ac:dyDescent="0.25">
      <c r="B128" s="90" t="e">
        <f>Gradesheet!#REF!</f>
        <v>#REF!</v>
      </c>
      <c r="C128" s="91" t="e">
        <f>(Gradesheet!#REF!)</f>
        <v>#REF!</v>
      </c>
      <c r="D128" s="92" t="e">
        <f>IF(Outline!$C$14&gt;0,Gradesheet!#REF!,Gradesheet!#REF!)</f>
        <v>#REF!</v>
      </c>
      <c r="E128" s="138" t="e">
        <f>IF(Outline!$C$14&gt;0,Gradesheet!#REF!,Gradesheet!#REF!)</f>
        <v>#REF!</v>
      </c>
      <c r="F128" s="138" t="e">
        <f>IF(Outline!$C$14&gt;0,Gradesheet!#REF!,"NA")</f>
        <v>#REF!</v>
      </c>
      <c r="G128" s="138" t="e">
        <f>IF(Outline!$C$14&gt;0,Gradesheet!#REF!,Gradesheet!#REF!)</f>
        <v>#REF!</v>
      </c>
      <c r="H128" s="139" t="e">
        <f t="shared" si="2"/>
        <v>#REF!</v>
      </c>
    </row>
    <row r="129" spans="2:8" hidden="1" x14ac:dyDescent="0.25">
      <c r="B129" s="90" t="e">
        <f>Gradesheet!#REF!</f>
        <v>#REF!</v>
      </c>
      <c r="C129" s="91" t="e">
        <f>(Gradesheet!#REF!)</f>
        <v>#REF!</v>
      </c>
      <c r="D129" s="92" t="e">
        <f>IF(Outline!$C$14&gt;0,Gradesheet!#REF!,Gradesheet!#REF!)</f>
        <v>#REF!</v>
      </c>
      <c r="E129" s="138" t="e">
        <f>IF(Outline!$C$14&gt;0,Gradesheet!#REF!,Gradesheet!#REF!)</f>
        <v>#REF!</v>
      </c>
      <c r="F129" s="138" t="e">
        <f>IF(Outline!$C$14&gt;0,Gradesheet!#REF!,"NA")</f>
        <v>#REF!</v>
      </c>
      <c r="G129" s="138" t="e">
        <f>IF(Outline!$C$14&gt;0,Gradesheet!#REF!,Gradesheet!#REF!)</f>
        <v>#REF!</v>
      </c>
      <c r="H129" s="139" t="e">
        <f t="shared" si="2"/>
        <v>#REF!</v>
      </c>
    </row>
    <row r="130" spans="2:8" hidden="1" x14ac:dyDescent="0.25">
      <c r="B130" s="90" t="e">
        <f>Gradesheet!#REF!</f>
        <v>#REF!</v>
      </c>
      <c r="C130" s="91" t="e">
        <f>(Gradesheet!#REF!)</f>
        <v>#REF!</v>
      </c>
      <c r="D130" s="92" t="e">
        <f>IF(Outline!$C$14&gt;0,Gradesheet!#REF!,Gradesheet!#REF!)</f>
        <v>#REF!</v>
      </c>
      <c r="E130" s="138" t="e">
        <f>IF(Outline!$C$14&gt;0,Gradesheet!#REF!,Gradesheet!#REF!)</f>
        <v>#REF!</v>
      </c>
      <c r="F130" s="138" t="e">
        <f>IF(Outline!$C$14&gt;0,Gradesheet!#REF!,"NA")</f>
        <v>#REF!</v>
      </c>
      <c r="G130" s="138" t="e">
        <f>IF(Outline!$C$14&gt;0,Gradesheet!#REF!,Gradesheet!#REF!)</f>
        <v>#REF!</v>
      </c>
      <c r="H130" s="139" t="e">
        <f t="shared" si="2"/>
        <v>#REF!</v>
      </c>
    </row>
    <row r="131" spans="2:8" hidden="1" x14ac:dyDescent="0.25">
      <c r="B131" s="90" t="e">
        <f>Gradesheet!#REF!</f>
        <v>#REF!</v>
      </c>
      <c r="C131" s="91" t="e">
        <f>(Gradesheet!#REF!)</f>
        <v>#REF!</v>
      </c>
      <c r="D131" s="92" t="e">
        <f>IF(Outline!$C$14&gt;0,Gradesheet!#REF!,Gradesheet!#REF!)</f>
        <v>#REF!</v>
      </c>
      <c r="E131" s="138" t="e">
        <f>IF(Outline!$C$14&gt;0,Gradesheet!#REF!,Gradesheet!#REF!)</f>
        <v>#REF!</v>
      </c>
      <c r="F131" s="138" t="e">
        <f>IF(Outline!$C$14&gt;0,Gradesheet!#REF!,"NA")</f>
        <v>#REF!</v>
      </c>
      <c r="G131" s="138" t="e">
        <f>IF(Outline!$C$14&gt;0,Gradesheet!#REF!,Gradesheet!#REF!)</f>
        <v>#REF!</v>
      </c>
      <c r="H131" s="139" t="e">
        <f t="shared" si="2"/>
        <v>#REF!</v>
      </c>
    </row>
    <row r="132" spans="2:8" hidden="1" x14ac:dyDescent="0.25">
      <c r="B132" s="90" t="e">
        <f>Gradesheet!#REF!</f>
        <v>#REF!</v>
      </c>
      <c r="C132" s="91" t="e">
        <f>(Gradesheet!#REF!)</f>
        <v>#REF!</v>
      </c>
      <c r="D132" s="92" t="e">
        <f>IF(Outline!$C$14&gt;0,Gradesheet!#REF!,Gradesheet!#REF!)</f>
        <v>#REF!</v>
      </c>
      <c r="E132" s="138" t="e">
        <f>IF(Outline!$C$14&gt;0,Gradesheet!#REF!,Gradesheet!#REF!)</f>
        <v>#REF!</v>
      </c>
      <c r="F132" s="138" t="e">
        <f>IF(Outline!$C$14&gt;0,Gradesheet!#REF!,"NA")</f>
        <v>#REF!</v>
      </c>
      <c r="G132" s="138" t="e">
        <f>IF(Outline!$C$14&gt;0,Gradesheet!#REF!,Gradesheet!#REF!)</f>
        <v>#REF!</v>
      </c>
      <c r="H132" s="139" t="e">
        <f t="shared" si="2"/>
        <v>#REF!</v>
      </c>
    </row>
    <row r="133" spans="2:8" hidden="1" x14ac:dyDescent="0.25">
      <c r="B133" s="90" t="e">
        <f>Gradesheet!#REF!</f>
        <v>#REF!</v>
      </c>
      <c r="C133" s="91" t="e">
        <f>(Gradesheet!#REF!)</f>
        <v>#REF!</v>
      </c>
      <c r="D133" s="92" t="e">
        <f>IF(Outline!$C$14&gt;0,Gradesheet!#REF!,Gradesheet!#REF!)</f>
        <v>#REF!</v>
      </c>
      <c r="E133" s="138" t="e">
        <f>IF(Outline!$C$14&gt;0,Gradesheet!#REF!,Gradesheet!#REF!)</f>
        <v>#REF!</v>
      </c>
      <c r="F133" s="138" t="e">
        <f>IF(Outline!$C$14&gt;0,Gradesheet!#REF!,"NA")</f>
        <v>#REF!</v>
      </c>
      <c r="G133" s="138" t="e">
        <f>IF(Outline!$C$14&gt;0,Gradesheet!#REF!,Gradesheet!#REF!)</f>
        <v>#REF!</v>
      </c>
      <c r="H133" s="139" t="e">
        <f t="shared" si="2"/>
        <v>#REF!</v>
      </c>
    </row>
    <row r="134" spans="2:8" hidden="1" x14ac:dyDescent="0.25">
      <c r="B134" s="90" t="e">
        <f>Gradesheet!#REF!</f>
        <v>#REF!</v>
      </c>
      <c r="C134" s="91" t="e">
        <f>(Gradesheet!#REF!)</f>
        <v>#REF!</v>
      </c>
      <c r="D134" s="92" t="e">
        <f>IF(Outline!$C$14&gt;0,Gradesheet!#REF!,Gradesheet!#REF!)</f>
        <v>#REF!</v>
      </c>
      <c r="E134" s="138" t="e">
        <f>IF(Outline!$C$14&gt;0,Gradesheet!#REF!,Gradesheet!#REF!)</f>
        <v>#REF!</v>
      </c>
      <c r="F134" s="138" t="e">
        <f>IF(Outline!$C$14&gt;0,Gradesheet!#REF!,"NA")</f>
        <v>#REF!</v>
      </c>
      <c r="G134" s="138" t="e">
        <f>IF(Outline!$C$14&gt;0,Gradesheet!#REF!,Gradesheet!#REF!)</f>
        <v>#REF!</v>
      </c>
      <c r="H134" s="139" t="e">
        <f t="shared" si="2"/>
        <v>#REF!</v>
      </c>
    </row>
    <row r="135" spans="2:8" hidden="1" x14ac:dyDescent="0.25">
      <c r="B135" s="90" t="e">
        <f>Gradesheet!#REF!</f>
        <v>#REF!</v>
      </c>
      <c r="C135" s="91" t="e">
        <f>(Gradesheet!#REF!)</f>
        <v>#REF!</v>
      </c>
      <c r="D135" s="92" t="e">
        <f>IF(Outline!$C$14&gt;0,Gradesheet!#REF!,Gradesheet!#REF!)</f>
        <v>#REF!</v>
      </c>
      <c r="E135" s="138" t="e">
        <f>IF(Outline!$C$14&gt;0,Gradesheet!#REF!,Gradesheet!#REF!)</f>
        <v>#REF!</v>
      </c>
      <c r="F135" s="138" t="e">
        <f>IF(Outline!$C$14&gt;0,Gradesheet!#REF!,"NA")</f>
        <v>#REF!</v>
      </c>
      <c r="G135" s="138" t="e">
        <f>IF(Outline!$C$14&gt;0,Gradesheet!#REF!,Gradesheet!#REF!)</f>
        <v>#REF!</v>
      </c>
      <c r="H135" s="139" t="e">
        <f t="shared" ref="H135:H198" si="3">SUM(D135:G135)</f>
        <v>#REF!</v>
      </c>
    </row>
    <row r="136" spans="2:8" hidden="1" x14ac:dyDescent="0.25">
      <c r="B136" s="90" t="e">
        <f>Gradesheet!#REF!</f>
        <v>#REF!</v>
      </c>
      <c r="C136" s="91" t="e">
        <f>(Gradesheet!#REF!)</f>
        <v>#REF!</v>
      </c>
      <c r="D136" s="92" t="e">
        <f>IF(Outline!$C$14&gt;0,Gradesheet!#REF!,Gradesheet!#REF!)</f>
        <v>#REF!</v>
      </c>
      <c r="E136" s="138" t="e">
        <f>IF(Outline!$C$14&gt;0,Gradesheet!#REF!,Gradesheet!#REF!)</f>
        <v>#REF!</v>
      </c>
      <c r="F136" s="138" t="e">
        <f>IF(Outline!$C$14&gt;0,Gradesheet!#REF!,"NA")</f>
        <v>#REF!</v>
      </c>
      <c r="G136" s="138" t="e">
        <f>IF(Outline!$C$14&gt;0,Gradesheet!#REF!,Gradesheet!#REF!)</f>
        <v>#REF!</v>
      </c>
      <c r="H136" s="139" t="e">
        <f t="shared" si="3"/>
        <v>#REF!</v>
      </c>
    </row>
    <row r="137" spans="2:8" hidden="1" x14ac:dyDescent="0.25">
      <c r="B137" s="90" t="e">
        <f>Gradesheet!#REF!</f>
        <v>#REF!</v>
      </c>
      <c r="C137" s="91" t="e">
        <f>(Gradesheet!#REF!)</f>
        <v>#REF!</v>
      </c>
      <c r="D137" s="92" t="e">
        <f>IF(Outline!$C$14&gt;0,Gradesheet!#REF!,Gradesheet!#REF!)</f>
        <v>#REF!</v>
      </c>
      <c r="E137" s="138" t="e">
        <f>IF(Outline!$C$14&gt;0,Gradesheet!#REF!,Gradesheet!#REF!)</f>
        <v>#REF!</v>
      </c>
      <c r="F137" s="138" t="e">
        <f>IF(Outline!$C$14&gt;0,Gradesheet!#REF!,"NA")</f>
        <v>#REF!</v>
      </c>
      <c r="G137" s="138" t="e">
        <f>IF(Outline!$C$14&gt;0,Gradesheet!#REF!,Gradesheet!#REF!)</f>
        <v>#REF!</v>
      </c>
      <c r="H137" s="139" t="e">
        <f t="shared" si="3"/>
        <v>#REF!</v>
      </c>
    </row>
    <row r="138" spans="2:8" hidden="1" x14ac:dyDescent="0.25">
      <c r="B138" s="90" t="e">
        <f>Gradesheet!#REF!</f>
        <v>#REF!</v>
      </c>
      <c r="C138" s="91" t="e">
        <f>(Gradesheet!#REF!)</f>
        <v>#REF!</v>
      </c>
      <c r="D138" s="92" t="e">
        <f>IF(Outline!$C$14&gt;0,Gradesheet!#REF!,Gradesheet!#REF!)</f>
        <v>#REF!</v>
      </c>
      <c r="E138" s="138" t="e">
        <f>IF(Outline!$C$14&gt;0,Gradesheet!#REF!,Gradesheet!#REF!)</f>
        <v>#REF!</v>
      </c>
      <c r="F138" s="138" t="e">
        <f>IF(Outline!$C$14&gt;0,Gradesheet!#REF!,"NA")</f>
        <v>#REF!</v>
      </c>
      <c r="G138" s="138" t="e">
        <f>IF(Outline!$C$14&gt;0,Gradesheet!#REF!,Gradesheet!#REF!)</f>
        <v>#REF!</v>
      </c>
      <c r="H138" s="139" t="e">
        <f t="shared" si="3"/>
        <v>#REF!</v>
      </c>
    </row>
    <row r="139" spans="2:8" hidden="1" x14ac:dyDescent="0.25">
      <c r="B139" s="90" t="e">
        <f>Gradesheet!#REF!</f>
        <v>#REF!</v>
      </c>
      <c r="C139" s="91" t="e">
        <f>(Gradesheet!#REF!)</f>
        <v>#REF!</v>
      </c>
      <c r="D139" s="92" t="e">
        <f>IF(Outline!$C$14&gt;0,Gradesheet!#REF!,Gradesheet!#REF!)</f>
        <v>#REF!</v>
      </c>
      <c r="E139" s="138" t="e">
        <f>IF(Outline!$C$14&gt;0,Gradesheet!#REF!,Gradesheet!#REF!)</f>
        <v>#REF!</v>
      </c>
      <c r="F139" s="138" t="e">
        <f>IF(Outline!$C$14&gt;0,Gradesheet!#REF!,"NA")</f>
        <v>#REF!</v>
      </c>
      <c r="G139" s="138" t="e">
        <f>IF(Outline!$C$14&gt;0,Gradesheet!#REF!,Gradesheet!#REF!)</f>
        <v>#REF!</v>
      </c>
      <c r="H139" s="139" t="e">
        <f t="shared" si="3"/>
        <v>#REF!</v>
      </c>
    </row>
    <row r="140" spans="2:8" hidden="1" x14ac:dyDescent="0.25">
      <c r="B140" s="90" t="e">
        <f>Gradesheet!#REF!</f>
        <v>#REF!</v>
      </c>
      <c r="C140" s="91" t="e">
        <f>(Gradesheet!#REF!)</f>
        <v>#REF!</v>
      </c>
      <c r="D140" s="92" t="e">
        <f>IF(Outline!$C$14&gt;0,Gradesheet!#REF!,Gradesheet!#REF!)</f>
        <v>#REF!</v>
      </c>
      <c r="E140" s="138" t="e">
        <f>IF(Outline!$C$14&gt;0,Gradesheet!#REF!,Gradesheet!#REF!)</f>
        <v>#REF!</v>
      </c>
      <c r="F140" s="138" t="e">
        <f>IF(Outline!$C$14&gt;0,Gradesheet!#REF!,"NA")</f>
        <v>#REF!</v>
      </c>
      <c r="G140" s="138" t="e">
        <f>IF(Outline!$C$14&gt;0,Gradesheet!#REF!,Gradesheet!#REF!)</f>
        <v>#REF!</v>
      </c>
      <c r="H140" s="139" t="e">
        <f t="shared" si="3"/>
        <v>#REF!</v>
      </c>
    </row>
    <row r="141" spans="2:8" hidden="1" x14ac:dyDescent="0.25">
      <c r="B141" s="90" t="e">
        <f>Gradesheet!#REF!</f>
        <v>#REF!</v>
      </c>
      <c r="C141" s="91" t="e">
        <f>(Gradesheet!#REF!)</f>
        <v>#REF!</v>
      </c>
      <c r="D141" s="92" t="e">
        <f>IF(Outline!$C$14&gt;0,Gradesheet!#REF!,Gradesheet!#REF!)</f>
        <v>#REF!</v>
      </c>
      <c r="E141" s="138" t="e">
        <f>IF(Outline!$C$14&gt;0,Gradesheet!#REF!,Gradesheet!#REF!)</f>
        <v>#REF!</v>
      </c>
      <c r="F141" s="138" t="e">
        <f>IF(Outline!$C$14&gt;0,Gradesheet!#REF!,"NA")</f>
        <v>#REF!</v>
      </c>
      <c r="G141" s="138" t="e">
        <f>IF(Outline!$C$14&gt;0,Gradesheet!#REF!,Gradesheet!#REF!)</f>
        <v>#REF!</v>
      </c>
      <c r="H141" s="139" t="e">
        <f t="shared" si="3"/>
        <v>#REF!</v>
      </c>
    </row>
    <row r="142" spans="2:8" hidden="1" x14ac:dyDescent="0.25">
      <c r="B142" s="90" t="e">
        <f>Gradesheet!#REF!</f>
        <v>#REF!</v>
      </c>
      <c r="C142" s="91" t="e">
        <f>(Gradesheet!#REF!)</f>
        <v>#REF!</v>
      </c>
      <c r="D142" s="92" t="e">
        <f>IF(Outline!$C$14&gt;0,Gradesheet!#REF!,Gradesheet!#REF!)</f>
        <v>#REF!</v>
      </c>
      <c r="E142" s="138" t="e">
        <f>IF(Outline!$C$14&gt;0,Gradesheet!#REF!,Gradesheet!#REF!)</f>
        <v>#REF!</v>
      </c>
      <c r="F142" s="138" t="e">
        <f>IF(Outline!$C$14&gt;0,Gradesheet!#REF!,"NA")</f>
        <v>#REF!</v>
      </c>
      <c r="G142" s="138" t="e">
        <f>IF(Outline!$C$14&gt;0,Gradesheet!#REF!,Gradesheet!#REF!)</f>
        <v>#REF!</v>
      </c>
      <c r="H142" s="139" t="e">
        <f t="shared" si="3"/>
        <v>#REF!</v>
      </c>
    </row>
    <row r="143" spans="2:8" hidden="1" x14ac:dyDescent="0.25">
      <c r="B143" s="90" t="e">
        <f>Gradesheet!#REF!</f>
        <v>#REF!</v>
      </c>
      <c r="C143" s="91" t="e">
        <f>(Gradesheet!#REF!)</f>
        <v>#REF!</v>
      </c>
      <c r="D143" s="92" t="e">
        <f>IF(Outline!$C$14&gt;0,Gradesheet!#REF!,Gradesheet!#REF!)</f>
        <v>#REF!</v>
      </c>
      <c r="E143" s="138" t="e">
        <f>IF(Outline!$C$14&gt;0,Gradesheet!#REF!,Gradesheet!#REF!)</f>
        <v>#REF!</v>
      </c>
      <c r="F143" s="138" t="e">
        <f>IF(Outline!$C$14&gt;0,Gradesheet!#REF!,"NA")</f>
        <v>#REF!</v>
      </c>
      <c r="G143" s="138" t="e">
        <f>IF(Outline!$C$14&gt;0,Gradesheet!#REF!,Gradesheet!#REF!)</f>
        <v>#REF!</v>
      </c>
      <c r="H143" s="139" t="e">
        <f t="shared" si="3"/>
        <v>#REF!</v>
      </c>
    </row>
    <row r="144" spans="2:8" hidden="1" x14ac:dyDescent="0.25">
      <c r="B144" s="90" t="e">
        <f>Gradesheet!#REF!</f>
        <v>#REF!</v>
      </c>
      <c r="C144" s="91" t="e">
        <f>(Gradesheet!#REF!)</f>
        <v>#REF!</v>
      </c>
      <c r="D144" s="92" t="e">
        <f>IF(Outline!$C$14&gt;0,Gradesheet!#REF!,Gradesheet!#REF!)</f>
        <v>#REF!</v>
      </c>
      <c r="E144" s="138" t="e">
        <f>IF(Outline!$C$14&gt;0,Gradesheet!#REF!,Gradesheet!#REF!)</f>
        <v>#REF!</v>
      </c>
      <c r="F144" s="138" t="e">
        <f>IF(Outline!$C$14&gt;0,Gradesheet!#REF!,"NA")</f>
        <v>#REF!</v>
      </c>
      <c r="G144" s="138" t="e">
        <f>IF(Outline!$C$14&gt;0,Gradesheet!#REF!,Gradesheet!#REF!)</f>
        <v>#REF!</v>
      </c>
      <c r="H144" s="139" t="e">
        <f t="shared" si="3"/>
        <v>#REF!</v>
      </c>
    </row>
    <row r="145" spans="2:8" hidden="1" x14ac:dyDescent="0.25">
      <c r="B145" s="90" t="e">
        <f>Gradesheet!#REF!</f>
        <v>#REF!</v>
      </c>
      <c r="C145" s="91" t="e">
        <f>(Gradesheet!#REF!)</f>
        <v>#REF!</v>
      </c>
      <c r="D145" s="92" t="e">
        <f>IF(Outline!$C$14&gt;0,Gradesheet!#REF!,Gradesheet!#REF!)</f>
        <v>#REF!</v>
      </c>
      <c r="E145" s="138" t="e">
        <f>IF(Outline!$C$14&gt;0,Gradesheet!#REF!,Gradesheet!#REF!)</f>
        <v>#REF!</v>
      </c>
      <c r="F145" s="138" t="e">
        <f>IF(Outline!$C$14&gt;0,Gradesheet!#REF!,"NA")</f>
        <v>#REF!</v>
      </c>
      <c r="G145" s="138" t="e">
        <f>IF(Outline!$C$14&gt;0,Gradesheet!#REF!,Gradesheet!#REF!)</f>
        <v>#REF!</v>
      </c>
      <c r="H145" s="139" t="e">
        <f t="shared" si="3"/>
        <v>#REF!</v>
      </c>
    </row>
    <row r="146" spans="2:8" hidden="1" x14ac:dyDescent="0.25">
      <c r="B146" s="90" t="e">
        <f>Gradesheet!#REF!</f>
        <v>#REF!</v>
      </c>
      <c r="C146" s="91" t="e">
        <f>(Gradesheet!#REF!)</f>
        <v>#REF!</v>
      </c>
      <c r="D146" s="92" t="e">
        <f>IF(Outline!$C$14&gt;0,Gradesheet!#REF!,Gradesheet!#REF!)</f>
        <v>#REF!</v>
      </c>
      <c r="E146" s="138" t="e">
        <f>IF(Outline!$C$14&gt;0,Gradesheet!#REF!,Gradesheet!#REF!)</f>
        <v>#REF!</v>
      </c>
      <c r="F146" s="138" t="e">
        <f>IF(Outline!$C$14&gt;0,Gradesheet!#REF!,"NA")</f>
        <v>#REF!</v>
      </c>
      <c r="G146" s="138" t="e">
        <f>IF(Outline!$C$14&gt;0,Gradesheet!#REF!,Gradesheet!#REF!)</f>
        <v>#REF!</v>
      </c>
      <c r="H146" s="139" t="e">
        <f t="shared" si="3"/>
        <v>#REF!</v>
      </c>
    </row>
    <row r="147" spans="2:8" hidden="1" x14ac:dyDescent="0.25">
      <c r="B147" s="90" t="e">
        <f>Gradesheet!#REF!</f>
        <v>#REF!</v>
      </c>
      <c r="C147" s="91" t="e">
        <f>(Gradesheet!#REF!)</f>
        <v>#REF!</v>
      </c>
      <c r="D147" s="92" t="e">
        <f>IF(Outline!$C$14&gt;0,Gradesheet!#REF!,Gradesheet!#REF!)</f>
        <v>#REF!</v>
      </c>
      <c r="E147" s="138" t="e">
        <f>IF(Outline!$C$14&gt;0,Gradesheet!#REF!,Gradesheet!#REF!)</f>
        <v>#REF!</v>
      </c>
      <c r="F147" s="138" t="e">
        <f>IF(Outline!$C$14&gt;0,Gradesheet!#REF!,"NA")</f>
        <v>#REF!</v>
      </c>
      <c r="G147" s="138" t="e">
        <f>IF(Outline!$C$14&gt;0,Gradesheet!#REF!,Gradesheet!#REF!)</f>
        <v>#REF!</v>
      </c>
      <c r="H147" s="139" t="e">
        <f t="shared" si="3"/>
        <v>#REF!</v>
      </c>
    </row>
    <row r="148" spans="2:8" hidden="1" x14ac:dyDescent="0.25">
      <c r="B148" s="90" t="e">
        <f>Gradesheet!#REF!</f>
        <v>#REF!</v>
      </c>
      <c r="C148" s="91" t="e">
        <f>(Gradesheet!#REF!)</f>
        <v>#REF!</v>
      </c>
      <c r="D148" s="92" t="e">
        <f>IF(Outline!$C$14&gt;0,Gradesheet!#REF!,Gradesheet!#REF!)</f>
        <v>#REF!</v>
      </c>
      <c r="E148" s="138" t="e">
        <f>IF(Outline!$C$14&gt;0,Gradesheet!#REF!,Gradesheet!#REF!)</f>
        <v>#REF!</v>
      </c>
      <c r="F148" s="138" t="e">
        <f>IF(Outline!$C$14&gt;0,Gradesheet!#REF!,"NA")</f>
        <v>#REF!</v>
      </c>
      <c r="G148" s="138" t="e">
        <f>IF(Outline!$C$14&gt;0,Gradesheet!#REF!,Gradesheet!#REF!)</f>
        <v>#REF!</v>
      </c>
      <c r="H148" s="139" t="e">
        <f t="shared" si="3"/>
        <v>#REF!</v>
      </c>
    </row>
    <row r="149" spans="2:8" hidden="1" x14ac:dyDescent="0.25">
      <c r="B149" s="90" t="e">
        <f>Gradesheet!#REF!</f>
        <v>#REF!</v>
      </c>
      <c r="C149" s="91" t="e">
        <f>(Gradesheet!#REF!)</f>
        <v>#REF!</v>
      </c>
      <c r="D149" s="92" t="e">
        <f>IF(Outline!$C$14&gt;0,Gradesheet!#REF!,Gradesheet!#REF!)</f>
        <v>#REF!</v>
      </c>
      <c r="E149" s="138" t="e">
        <f>IF(Outline!$C$14&gt;0,Gradesheet!#REF!,Gradesheet!#REF!)</f>
        <v>#REF!</v>
      </c>
      <c r="F149" s="138" t="e">
        <f>IF(Outline!$C$14&gt;0,Gradesheet!#REF!,"NA")</f>
        <v>#REF!</v>
      </c>
      <c r="G149" s="138" t="e">
        <f>IF(Outline!$C$14&gt;0,Gradesheet!#REF!,Gradesheet!#REF!)</f>
        <v>#REF!</v>
      </c>
      <c r="H149" s="139" t="e">
        <f t="shared" si="3"/>
        <v>#REF!</v>
      </c>
    </row>
    <row r="150" spans="2:8" hidden="1" x14ac:dyDescent="0.25">
      <c r="B150" s="90" t="e">
        <f>Gradesheet!#REF!</f>
        <v>#REF!</v>
      </c>
      <c r="C150" s="91" t="e">
        <f>(Gradesheet!#REF!)</f>
        <v>#REF!</v>
      </c>
      <c r="D150" s="92" t="e">
        <f>IF(Outline!$C$14&gt;0,Gradesheet!#REF!,Gradesheet!#REF!)</f>
        <v>#REF!</v>
      </c>
      <c r="E150" s="138" t="e">
        <f>IF(Outline!$C$14&gt;0,Gradesheet!#REF!,Gradesheet!#REF!)</f>
        <v>#REF!</v>
      </c>
      <c r="F150" s="138" t="e">
        <f>IF(Outline!$C$14&gt;0,Gradesheet!#REF!,"NA")</f>
        <v>#REF!</v>
      </c>
      <c r="G150" s="138" t="e">
        <f>IF(Outline!$C$14&gt;0,Gradesheet!#REF!,Gradesheet!#REF!)</f>
        <v>#REF!</v>
      </c>
      <c r="H150" s="139" t="e">
        <f t="shared" si="3"/>
        <v>#REF!</v>
      </c>
    </row>
    <row r="151" spans="2:8" hidden="1" x14ac:dyDescent="0.25">
      <c r="B151" s="90" t="e">
        <f>Gradesheet!#REF!</f>
        <v>#REF!</v>
      </c>
      <c r="C151" s="91" t="e">
        <f>(Gradesheet!#REF!)</f>
        <v>#REF!</v>
      </c>
      <c r="D151" s="92" t="e">
        <f>IF(Outline!$C$14&gt;0,Gradesheet!#REF!,Gradesheet!#REF!)</f>
        <v>#REF!</v>
      </c>
      <c r="E151" s="138" t="e">
        <f>IF(Outline!$C$14&gt;0,Gradesheet!#REF!,Gradesheet!#REF!)</f>
        <v>#REF!</v>
      </c>
      <c r="F151" s="138" t="e">
        <f>IF(Outline!$C$14&gt;0,Gradesheet!#REF!,"NA")</f>
        <v>#REF!</v>
      </c>
      <c r="G151" s="138" t="e">
        <f>IF(Outline!$C$14&gt;0,Gradesheet!#REF!,Gradesheet!#REF!)</f>
        <v>#REF!</v>
      </c>
      <c r="H151" s="139" t="e">
        <f t="shared" si="3"/>
        <v>#REF!</v>
      </c>
    </row>
    <row r="152" spans="2:8" hidden="1" x14ac:dyDescent="0.25">
      <c r="B152" s="90" t="e">
        <f>Gradesheet!#REF!</f>
        <v>#REF!</v>
      </c>
      <c r="C152" s="91" t="e">
        <f>(Gradesheet!#REF!)</f>
        <v>#REF!</v>
      </c>
      <c r="D152" s="92" t="e">
        <f>IF(Outline!$C$14&gt;0,Gradesheet!#REF!,Gradesheet!#REF!)</f>
        <v>#REF!</v>
      </c>
      <c r="E152" s="138" t="e">
        <f>IF(Outline!$C$14&gt;0,Gradesheet!#REF!,Gradesheet!#REF!)</f>
        <v>#REF!</v>
      </c>
      <c r="F152" s="138" t="e">
        <f>IF(Outline!$C$14&gt;0,Gradesheet!#REF!,"NA")</f>
        <v>#REF!</v>
      </c>
      <c r="G152" s="138" t="e">
        <f>IF(Outline!$C$14&gt;0,Gradesheet!#REF!,Gradesheet!#REF!)</f>
        <v>#REF!</v>
      </c>
      <c r="H152" s="139" t="e">
        <f t="shared" si="3"/>
        <v>#REF!</v>
      </c>
    </row>
    <row r="153" spans="2:8" hidden="1" x14ac:dyDescent="0.25">
      <c r="B153" s="90" t="e">
        <f>Gradesheet!#REF!</f>
        <v>#REF!</v>
      </c>
      <c r="C153" s="91" t="e">
        <f>(Gradesheet!#REF!)</f>
        <v>#REF!</v>
      </c>
      <c r="D153" s="92" t="e">
        <f>IF(Outline!$C$14&gt;0,Gradesheet!#REF!,Gradesheet!#REF!)</f>
        <v>#REF!</v>
      </c>
      <c r="E153" s="138" t="e">
        <f>IF(Outline!$C$14&gt;0,Gradesheet!#REF!,Gradesheet!#REF!)</f>
        <v>#REF!</v>
      </c>
      <c r="F153" s="138" t="e">
        <f>IF(Outline!$C$14&gt;0,Gradesheet!#REF!,"NA")</f>
        <v>#REF!</v>
      </c>
      <c r="G153" s="138" t="e">
        <f>IF(Outline!$C$14&gt;0,Gradesheet!#REF!,Gradesheet!#REF!)</f>
        <v>#REF!</v>
      </c>
      <c r="H153" s="139" t="e">
        <f t="shared" si="3"/>
        <v>#REF!</v>
      </c>
    </row>
    <row r="154" spans="2:8" hidden="1" x14ac:dyDescent="0.25">
      <c r="B154" s="90" t="e">
        <f>Gradesheet!#REF!</f>
        <v>#REF!</v>
      </c>
      <c r="C154" s="91" t="e">
        <f>(Gradesheet!#REF!)</f>
        <v>#REF!</v>
      </c>
      <c r="D154" s="92" t="e">
        <f>IF(Outline!$C$14&gt;0,Gradesheet!#REF!,Gradesheet!#REF!)</f>
        <v>#REF!</v>
      </c>
      <c r="E154" s="138" t="e">
        <f>IF(Outline!$C$14&gt;0,Gradesheet!#REF!,Gradesheet!#REF!)</f>
        <v>#REF!</v>
      </c>
      <c r="F154" s="138" t="e">
        <f>IF(Outline!$C$14&gt;0,Gradesheet!#REF!,"NA")</f>
        <v>#REF!</v>
      </c>
      <c r="G154" s="138" t="e">
        <f>IF(Outline!$C$14&gt;0,Gradesheet!#REF!,Gradesheet!#REF!)</f>
        <v>#REF!</v>
      </c>
      <c r="H154" s="139" t="e">
        <f t="shared" si="3"/>
        <v>#REF!</v>
      </c>
    </row>
    <row r="155" spans="2:8" hidden="1" x14ac:dyDescent="0.25">
      <c r="B155" s="90" t="e">
        <f>Gradesheet!#REF!</f>
        <v>#REF!</v>
      </c>
      <c r="C155" s="91" t="e">
        <f>(Gradesheet!#REF!)</f>
        <v>#REF!</v>
      </c>
      <c r="D155" s="92" t="e">
        <f>IF(Outline!$C$14&gt;0,Gradesheet!#REF!,Gradesheet!#REF!)</f>
        <v>#REF!</v>
      </c>
      <c r="E155" s="138" t="e">
        <f>IF(Outline!$C$14&gt;0,Gradesheet!#REF!,Gradesheet!#REF!)</f>
        <v>#REF!</v>
      </c>
      <c r="F155" s="138" t="e">
        <f>IF(Outline!$C$14&gt;0,Gradesheet!#REF!,"NA")</f>
        <v>#REF!</v>
      </c>
      <c r="G155" s="138" t="e">
        <f>IF(Outline!$C$14&gt;0,Gradesheet!#REF!,Gradesheet!#REF!)</f>
        <v>#REF!</v>
      </c>
      <c r="H155" s="139" t="e">
        <f t="shared" si="3"/>
        <v>#REF!</v>
      </c>
    </row>
    <row r="156" spans="2:8" hidden="1" x14ac:dyDescent="0.25">
      <c r="B156" s="90" t="e">
        <f>Gradesheet!#REF!</f>
        <v>#REF!</v>
      </c>
      <c r="C156" s="91" t="e">
        <f>(Gradesheet!#REF!)</f>
        <v>#REF!</v>
      </c>
      <c r="D156" s="92" t="e">
        <f>IF(Outline!$C$14&gt;0,Gradesheet!#REF!,Gradesheet!#REF!)</f>
        <v>#REF!</v>
      </c>
      <c r="E156" s="138" t="e">
        <f>IF(Outline!$C$14&gt;0,Gradesheet!#REF!,Gradesheet!#REF!)</f>
        <v>#REF!</v>
      </c>
      <c r="F156" s="138" t="e">
        <f>IF(Outline!$C$14&gt;0,Gradesheet!#REF!,"NA")</f>
        <v>#REF!</v>
      </c>
      <c r="G156" s="138" t="e">
        <f>IF(Outline!$C$14&gt;0,Gradesheet!#REF!,Gradesheet!#REF!)</f>
        <v>#REF!</v>
      </c>
      <c r="H156" s="139" t="e">
        <f t="shared" si="3"/>
        <v>#REF!</v>
      </c>
    </row>
    <row r="157" spans="2:8" hidden="1" x14ac:dyDescent="0.25">
      <c r="B157" s="90" t="e">
        <f>Gradesheet!#REF!</f>
        <v>#REF!</v>
      </c>
      <c r="C157" s="91" t="e">
        <f>(Gradesheet!#REF!)</f>
        <v>#REF!</v>
      </c>
      <c r="D157" s="92" t="e">
        <f>IF(Outline!$C$14&gt;0,Gradesheet!#REF!,Gradesheet!#REF!)</f>
        <v>#REF!</v>
      </c>
      <c r="E157" s="138" t="e">
        <f>IF(Outline!$C$14&gt;0,Gradesheet!#REF!,Gradesheet!#REF!)</f>
        <v>#REF!</v>
      </c>
      <c r="F157" s="138" t="e">
        <f>IF(Outline!$C$14&gt;0,Gradesheet!#REF!,"NA")</f>
        <v>#REF!</v>
      </c>
      <c r="G157" s="138" t="e">
        <f>IF(Outline!$C$14&gt;0,Gradesheet!#REF!,Gradesheet!#REF!)</f>
        <v>#REF!</v>
      </c>
      <c r="H157" s="139" t="e">
        <f t="shared" si="3"/>
        <v>#REF!</v>
      </c>
    </row>
    <row r="158" spans="2:8" hidden="1" x14ac:dyDescent="0.25">
      <c r="B158" s="90" t="e">
        <f>Gradesheet!#REF!</f>
        <v>#REF!</v>
      </c>
      <c r="C158" s="91" t="e">
        <f>(Gradesheet!#REF!)</f>
        <v>#REF!</v>
      </c>
      <c r="D158" s="92" t="e">
        <f>IF(Outline!$C$14&gt;0,Gradesheet!#REF!,Gradesheet!#REF!)</f>
        <v>#REF!</v>
      </c>
      <c r="E158" s="138" t="e">
        <f>IF(Outline!$C$14&gt;0,Gradesheet!#REF!,Gradesheet!#REF!)</f>
        <v>#REF!</v>
      </c>
      <c r="F158" s="138" t="e">
        <f>IF(Outline!$C$14&gt;0,Gradesheet!#REF!,"NA")</f>
        <v>#REF!</v>
      </c>
      <c r="G158" s="138" t="e">
        <f>IF(Outline!$C$14&gt;0,Gradesheet!#REF!,Gradesheet!#REF!)</f>
        <v>#REF!</v>
      </c>
      <c r="H158" s="139" t="e">
        <f t="shared" si="3"/>
        <v>#REF!</v>
      </c>
    </row>
    <row r="159" spans="2:8" hidden="1" x14ac:dyDescent="0.25">
      <c r="B159" s="90" t="e">
        <f>Gradesheet!#REF!</f>
        <v>#REF!</v>
      </c>
      <c r="C159" s="91" t="e">
        <f>(Gradesheet!#REF!)</f>
        <v>#REF!</v>
      </c>
      <c r="D159" s="92" t="e">
        <f>IF(Outline!$C$14&gt;0,Gradesheet!#REF!,Gradesheet!#REF!)</f>
        <v>#REF!</v>
      </c>
      <c r="E159" s="138" t="e">
        <f>IF(Outline!$C$14&gt;0,Gradesheet!#REF!,Gradesheet!#REF!)</f>
        <v>#REF!</v>
      </c>
      <c r="F159" s="138" t="e">
        <f>IF(Outline!$C$14&gt;0,Gradesheet!#REF!,"NA")</f>
        <v>#REF!</v>
      </c>
      <c r="G159" s="138" t="e">
        <f>IF(Outline!$C$14&gt;0,Gradesheet!#REF!,Gradesheet!#REF!)</f>
        <v>#REF!</v>
      </c>
      <c r="H159" s="139" t="e">
        <f t="shared" si="3"/>
        <v>#REF!</v>
      </c>
    </row>
    <row r="160" spans="2:8" hidden="1" x14ac:dyDescent="0.25">
      <c r="B160" s="90" t="e">
        <f>Gradesheet!#REF!</f>
        <v>#REF!</v>
      </c>
      <c r="C160" s="91" t="e">
        <f>(Gradesheet!#REF!)</f>
        <v>#REF!</v>
      </c>
      <c r="D160" s="92" t="e">
        <f>IF(Outline!$C$14&gt;0,Gradesheet!#REF!,Gradesheet!#REF!)</f>
        <v>#REF!</v>
      </c>
      <c r="E160" s="138" t="e">
        <f>IF(Outline!$C$14&gt;0,Gradesheet!#REF!,Gradesheet!#REF!)</f>
        <v>#REF!</v>
      </c>
      <c r="F160" s="138" t="e">
        <f>IF(Outline!$C$14&gt;0,Gradesheet!#REF!,"NA")</f>
        <v>#REF!</v>
      </c>
      <c r="G160" s="138" t="e">
        <f>IF(Outline!$C$14&gt;0,Gradesheet!#REF!,Gradesheet!#REF!)</f>
        <v>#REF!</v>
      </c>
      <c r="H160" s="139" t="e">
        <f t="shared" si="3"/>
        <v>#REF!</v>
      </c>
    </row>
    <row r="161" spans="2:8" hidden="1" x14ac:dyDescent="0.25">
      <c r="B161" s="90" t="e">
        <f>Gradesheet!#REF!</f>
        <v>#REF!</v>
      </c>
      <c r="C161" s="91" t="e">
        <f>(Gradesheet!#REF!)</f>
        <v>#REF!</v>
      </c>
      <c r="D161" s="92" t="e">
        <f>IF(Outline!$C$14&gt;0,Gradesheet!#REF!,Gradesheet!#REF!)</f>
        <v>#REF!</v>
      </c>
      <c r="E161" s="138" t="e">
        <f>IF(Outline!$C$14&gt;0,Gradesheet!#REF!,Gradesheet!#REF!)</f>
        <v>#REF!</v>
      </c>
      <c r="F161" s="138" t="e">
        <f>IF(Outline!$C$14&gt;0,Gradesheet!#REF!,"NA")</f>
        <v>#REF!</v>
      </c>
      <c r="G161" s="138" t="e">
        <f>IF(Outline!$C$14&gt;0,Gradesheet!#REF!,Gradesheet!#REF!)</f>
        <v>#REF!</v>
      </c>
      <c r="H161" s="139" t="e">
        <f t="shared" si="3"/>
        <v>#REF!</v>
      </c>
    </row>
    <row r="162" spans="2:8" hidden="1" x14ac:dyDescent="0.25">
      <c r="B162" s="90" t="e">
        <f>Gradesheet!#REF!</f>
        <v>#REF!</v>
      </c>
      <c r="C162" s="91" t="e">
        <f>(Gradesheet!#REF!)</f>
        <v>#REF!</v>
      </c>
      <c r="D162" s="92" t="e">
        <f>IF(Outline!$C$14&gt;0,Gradesheet!#REF!,Gradesheet!#REF!)</f>
        <v>#REF!</v>
      </c>
      <c r="E162" s="138" t="e">
        <f>IF(Outline!$C$14&gt;0,Gradesheet!#REF!,Gradesheet!#REF!)</f>
        <v>#REF!</v>
      </c>
      <c r="F162" s="138" t="e">
        <f>IF(Outline!$C$14&gt;0,Gradesheet!#REF!,"NA")</f>
        <v>#REF!</v>
      </c>
      <c r="G162" s="138" t="e">
        <f>IF(Outline!$C$14&gt;0,Gradesheet!#REF!,Gradesheet!#REF!)</f>
        <v>#REF!</v>
      </c>
      <c r="H162" s="139" t="e">
        <f t="shared" si="3"/>
        <v>#REF!</v>
      </c>
    </row>
    <row r="163" spans="2:8" hidden="1" x14ac:dyDescent="0.25">
      <c r="B163" s="90" t="e">
        <f>Gradesheet!#REF!</f>
        <v>#REF!</v>
      </c>
      <c r="C163" s="91" t="e">
        <f>(Gradesheet!#REF!)</f>
        <v>#REF!</v>
      </c>
      <c r="D163" s="92" t="e">
        <f>IF(Outline!$C$14&gt;0,Gradesheet!#REF!,Gradesheet!#REF!)</f>
        <v>#REF!</v>
      </c>
      <c r="E163" s="138" t="e">
        <f>IF(Outline!$C$14&gt;0,Gradesheet!#REF!,Gradesheet!#REF!)</f>
        <v>#REF!</v>
      </c>
      <c r="F163" s="138" t="e">
        <f>IF(Outline!$C$14&gt;0,Gradesheet!#REF!,"NA")</f>
        <v>#REF!</v>
      </c>
      <c r="G163" s="138" t="e">
        <f>IF(Outline!$C$14&gt;0,Gradesheet!#REF!,Gradesheet!#REF!)</f>
        <v>#REF!</v>
      </c>
      <c r="H163" s="139" t="e">
        <f t="shared" si="3"/>
        <v>#REF!</v>
      </c>
    </row>
    <row r="164" spans="2:8" hidden="1" x14ac:dyDescent="0.25">
      <c r="B164" s="90" t="e">
        <f>Gradesheet!#REF!</f>
        <v>#REF!</v>
      </c>
      <c r="C164" s="91" t="e">
        <f>(Gradesheet!#REF!)</f>
        <v>#REF!</v>
      </c>
      <c r="D164" s="92" t="e">
        <f>IF(Outline!$C$14&gt;0,Gradesheet!#REF!,Gradesheet!#REF!)</f>
        <v>#REF!</v>
      </c>
      <c r="E164" s="138" t="e">
        <f>IF(Outline!$C$14&gt;0,Gradesheet!#REF!,Gradesheet!#REF!)</f>
        <v>#REF!</v>
      </c>
      <c r="F164" s="138" t="e">
        <f>IF(Outline!$C$14&gt;0,Gradesheet!#REF!,"NA")</f>
        <v>#REF!</v>
      </c>
      <c r="G164" s="138" t="e">
        <f>IF(Outline!$C$14&gt;0,Gradesheet!#REF!,Gradesheet!#REF!)</f>
        <v>#REF!</v>
      </c>
      <c r="H164" s="139" t="e">
        <f t="shared" si="3"/>
        <v>#REF!</v>
      </c>
    </row>
    <row r="165" spans="2:8" hidden="1" x14ac:dyDescent="0.25">
      <c r="B165" s="90" t="e">
        <f>Gradesheet!#REF!</f>
        <v>#REF!</v>
      </c>
      <c r="C165" s="91" t="e">
        <f>(Gradesheet!#REF!)</f>
        <v>#REF!</v>
      </c>
      <c r="D165" s="92" t="e">
        <f>IF(Outline!$C$14&gt;0,Gradesheet!#REF!,Gradesheet!#REF!)</f>
        <v>#REF!</v>
      </c>
      <c r="E165" s="138" t="e">
        <f>IF(Outline!$C$14&gt;0,Gradesheet!#REF!,Gradesheet!#REF!)</f>
        <v>#REF!</v>
      </c>
      <c r="F165" s="138" t="e">
        <f>IF(Outline!$C$14&gt;0,Gradesheet!#REF!,"NA")</f>
        <v>#REF!</v>
      </c>
      <c r="G165" s="138" t="e">
        <f>IF(Outline!$C$14&gt;0,Gradesheet!#REF!,Gradesheet!#REF!)</f>
        <v>#REF!</v>
      </c>
      <c r="H165" s="139" t="e">
        <f t="shared" si="3"/>
        <v>#REF!</v>
      </c>
    </row>
    <row r="166" spans="2:8" hidden="1" x14ac:dyDescent="0.25">
      <c r="B166" s="90" t="e">
        <f>Gradesheet!#REF!</f>
        <v>#REF!</v>
      </c>
      <c r="C166" s="91" t="e">
        <f>(Gradesheet!#REF!)</f>
        <v>#REF!</v>
      </c>
      <c r="D166" s="92" t="e">
        <f>IF(Outline!$C$14&gt;0,Gradesheet!#REF!,Gradesheet!#REF!)</f>
        <v>#REF!</v>
      </c>
      <c r="E166" s="138" t="e">
        <f>IF(Outline!$C$14&gt;0,Gradesheet!#REF!,Gradesheet!#REF!)</f>
        <v>#REF!</v>
      </c>
      <c r="F166" s="138" t="e">
        <f>IF(Outline!$C$14&gt;0,Gradesheet!#REF!,"NA")</f>
        <v>#REF!</v>
      </c>
      <c r="G166" s="138" t="e">
        <f>IF(Outline!$C$14&gt;0,Gradesheet!#REF!,Gradesheet!#REF!)</f>
        <v>#REF!</v>
      </c>
      <c r="H166" s="139" t="e">
        <f t="shared" si="3"/>
        <v>#REF!</v>
      </c>
    </row>
    <row r="167" spans="2:8" hidden="1" x14ac:dyDescent="0.25">
      <c r="B167" s="90" t="e">
        <f>Gradesheet!#REF!</f>
        <v>#REF!</v>
      </c>
      <c r="C167" s="91" t="e">
        <f>(Gradesheet!#REF!)</f>
        <v>#REF!</v>
      </c>
      <c r="D167" s="92" t="e">
        <f>IF(Outline!$C$14&gt;0,Gradesheet!#REF!,Gradesheet!#REF!)</f>
        <v>#REF!</v>
      </c>
      <c r="E167" s="138" t="e">
        <f>IF(Outline!$C$14&gt;0,Gradesheet!#REF!,Gradesheet!#REF!)</f>
        <v>#REF!</v>
      </c>
      <c r="F167" s="138" t="e">
        <f>IF(Outline!$C$14&gt;0,Gradesheet!#REF!,"NA")</f>
        <v>#REF!</v>
      </c>
      <c r="G167" s="138" t="e">
        <f>IF(Outline!$C$14&gt;0,Gradesheet!#REF!,Gradesheet!#REF!)</f>
        <v>#REF!</v>
      </c>
      <c r="H167" s="139" t="e">
        <f t="shared" si="3"/>
        <v>#REF!</v>
      </c>
    </row>
    <row r="168" spans="2:8" hidden="1" x14ac:dyDescent="0.25">
      <c r="B168" s="90" t="e">
        <f>Gradesheet!#REF!</f>
        <v>#REF!</v>
      </c>
      <c r="C168" s="91" t="e">
        <f>(Gradesheet!#REF!)</f>
        <v>#REF!</v>
      </c>
      <c r="D168" s="92" t="e">
        <f>IF(Outline!$C$14&gt;0,Gradesheet!#REF!,Gradesheet!#REF!)</f>
        <v>#REF!</v>
      </c>
      <c r="E168" s="138" t="e">
        <f>IF(Outline!$C$14&gt;0,Gradesheet!#REF!,Gradesheet!#REF!)</f>
        <v>#REF!</v>
      </c>
      <c r="F168" s="138" t="e">
        <f>IF(Outline!$C$14&gt;0,Gradesheet!#REF!,"NA")</f>
        <v>#REF!</v>
      </c>
      <c r="G168" s="138" t="e">
        <f>IF(Outline!$C$14&gt;0,Gradesheet!#REF!,Gradesheet!#REF!)</f>
        <v>#REF!</v>
      </c>
      <c r="H168" s="139" t="e">
        <f t="shared" si="3"/>
        <v>#REF!</v>
      </c>
    </row>
    <row r="169" spans="2:8" hidden="1" x14ac:dyDescent="0.25">
      <c r="B169" s="90" t="e">
        <f>Gradesheet!#REF!</f>
        <v>#REF!</v>
      </c>
      <c r="C169" s="91" t="e">
        <f>(Gradesheet!#REF!)</f>
        <v>#REF!</v>
      </c>
      <c r="D169" s="92" t="e">
        <f>IF(Outline!$C$14&gt;0,Gradesheet!#REF!,Gradesheet!#REF!)</f>
        <v>#REF!</v>
      </c>
      <c r="E169" s="138" t="e">
        <f>IF(Outline!$C$14&gt;0,Gradesheet!#REF!,Gradesheet!#REF!)</f>
        <v>#REF!</v>
      </c>
      <c r="F169" s="138" t="e">
        <f>IF(Outline!$C$14&gt;0,Gradesheet!#REF!,"NA")</f>
        <v>#REF!</v>
      </c>
      <c r="G169" s="138" t="e">
        <f>IF(Outline!$C$14&gt;0,Gradesheet!#REF!,Gradesheet!#REF!)</f>
        <v>#REF!</v>
      </c>
      <c r="H169" s="139" t="e">
        <f t="shared" si="3"/>
        <v>#REF!</v>
      </c>
    </row>
    <row r="170" spans="2:8" hidden="1" x14ac:dyDescent="0.25">
      <c r="B170" s="90" t="e">
        <f>Gradesheet!#REF!</f>
        <v>#REF!</v>
      </c>
      <c r="C170" s="91" t="e">
        <f>(Gradesheet!#REF!)</f>
        <v>#REF!</v>
      </c>
      <c r="D170" s="92" t="e">
        <f>IF(Outline!$C$14&gt;0,Gradesheet!#REF!,Gradesheet!#REF!)</f>
        <v>#REF!</v>
      </c>
      <c r="E170" s="138" t="e">
        <f>IF(Outline!$C$14&gt;0,Gradesheet!#REF!,Gradesheet!#REF!)</f>
        <v>#REF!</v>
      </c>
      <c r="F170" s="138" t="e">
        <f>IF(Outline!$C$14&gt;0,Gradesheet!#REF!,"NA")</f>
        <v>#REF!</v>
      </c>
      <c r="G170" s="138" t="e">
        <f>IF(Outline!$C$14&gt;0,Gradesheet!#REF!,Gradesheet!#REF!)</f>
        <v>#REF!</v>
      </c>
      <c r="H170" s="139" t="e">
        <f t="shared" si="3"/>
        <v>#REF!</v>
      </c>
    </row>
    <row r="171" spans="2:8" hidden="1" x14ac:dyDescent="0.25">
      <c r="B171" s="90" t="e">
        <f>Gradesheet!#REF!</f>
        <v>#REF!</v>
      </c>
      <c r="C171" s="91" t="e">
        <f>(Gradesheet!#REF!)</f>
        <v>#REF!</v>
      </c>
      <c r="D171" s="92" t="e">
        <f>IF(Outline!$C$14&gt;0,Gradesheet!#REF!,Gradesheet!#REF!)</f>
        <v>#REF!</v>
      </c>
      <c r="E171" s="138" t="e">
        <f>IF(Outline!$C$14&gt;0,Gradesheet!#REF!,Gradesheet!#REF!)</f>
        <v>#REF!</v>
      </c>
      <c r="F171" s="138" t="e">
        <f>IF(Outline!$C$14&gt;0,Gradesheet!#REF!,"NA")</f>
        <v>#REF!</v>
      </c>
      <c r="G171" s="138" t="e">
        <f>IF(Outline!$C$14&gt;0,Gradesheet!#REF!,Gradesheet!#REF!)</f>
        <v>#REF!</v>
      </c>
      <c r="H171" s="139" t="e">
        <f t="shared" si="3"/>
        <v>#REF!</v>
      </c>
    </row>
    <row r="172" spans="2:8" hidden="1" x14ac:dyDescent="0.25">
      <c r="B172" s="90" t="e">
        <f>Gradesheet!#REF!</f>
        <v>#REF!</v>
      </c>
      <c r="C172" s="91" t="e">
        <f>(Gradesheet!#REF!)</f>
        <v>#REF!</v>
      </c>
      <c r="D172" s="92" t="e">
        <f>IF(Outline!$C$14&gt;0,Gradesheet!#REF!,Gradesheet!#REF!)</f>
        <v>#REF!</v>
      </c>
      <c r="E172" s="138" t="e">
        <f>IF(Outline!$C$14&gt;0,Gradesheet!#REF!,Gradesheet!#REF!)</f>
        <v>#REF!</v>
      </c>
      <c r="F172" s="138" t="e">
        <f>IF(Outline!$C$14&gt;0,Gradesheet!#REF!,"NA")</f>
        <v>#REF!</v>
      </c>
      <c r="G172" s="138" t="e">
        <f>IF(Outline!$C$14&gt;0,Gradesheet!#REF!,Gradesheet!#REF!)</f>
        <v>#REF!</v>
      </c>
      <c r="H172" s="139" t="e">
        <f t="shared" si="3"/>
        <v>#REF!</v>
      </c>
    </row>
    <row r="173" spans="2:8" hidden="1" x14ac:dyDescent="0.25">
      <c r="B173" s="90" t="e">
        <f>Gradesheet!#REF!</f>
        <v>#REF!</v>
      </c>
      <c r="C173" s="91" t="e">
        <f>(Gradesheet!#REF!)</f>
        <v>#REF!</v>
      </c>
      <c r="D173" s="92" t="e">
        <f>IF(Outline!$C$14&gt;0,Gradesheet!#REF!,Gradesheet!#REF!)</f>
        <v>#REF!</v>
      </c>
      <c r="E173" s="138" t="e">
        <f>IF(Outline!$C$14&gt;0,Gradesheet!#REF!,Gradesheet!#REF!)</f>
        <v>#REF!</v>
      </c>
      <c r="F173" s="138" t="e">
        <f>IF(Outline!$C$14&gt;0,Gradesheet!#REF!,"NA")</f>
        <v>#REF!</v>
      </c>
      <c r="G173" s="138" t="e">
        <f>IF(Outline!$C$14&gt;0,Gradesheet!#REF!,Gradesheet!#REF!)</f>
        <v>#REF!</v>
      </c>
      <c r="H173" s="139" t="e">
        <f t="shared" si="3"/>
        <v>#REF!</v>
      </c>
    </row>
    <row r="174" spans="2:8" hidden="1" x14ac:dyDescent="0.25">
      <c r="B174" s="90" t="e">
        <f>Gradesheet!#REF!</f>
        <v>#REF!</v>
      </c>
      <c r="C174" s="91" t="e">
        <f>(Gradesheet!#REF!)</f>
        <v>#REF!</v>
      </c>
      <c r="D174" s="92" t="e">
        <f>IF(Outline!$C$14&gt;0,Gradesheet!#REF!,Gradesheet!#REF!)</f>
        <v>#REF!</v>
      </c>
      <c r="E174" s="138" t="e">
        <f>IF(Outline!$C$14&gt;0,Gradesheet!#REF!,Gradesheet!#REF!)</f>
        <v>#REF!</v>
      </c>
      <c r="F174" s="138" t="e">
        <f>IF(Outline!$C$14&gt;0,Gradesheet!#REF!,"NA")</f>
        <v>#REF!</v>
      </c>
      <c r="G174" s="138" t="e">
        <f>IF(Outline!$C$14&gt;0,Gradesheet!#REF!,Gradesheet!#REF!)</f>
        <v>#REF!</v>
      </c>
      <c r="H174" s="139" t="e">
        <f t="shared" si="3"/>
        <v>#REF!</v>
      </c>
    </row>
    <row r="175" spans="2:8" hidden="1" x14ac:dyDescent="0.25">
      <c r="B175" s="90" t="e">
        <f>Gradesheet!#REF!</f>
        <v>#REF!</v>
      </c>
      <c r="C175" s="91" t="e">
        <f>(Gradesheet!#REF!)</f>
        <v>#REF!</v>
      </c>
      <c r="D175" s="92" t="e">
        <f>IF(Outline!$C$14&gt;0,Gradesheet!#REF!,Gradesheet!#REF!)</f>
        <v>#REF!</v>
      </c>
      <c r="E175" s="138" t="e">
        <f>IF(Outline!$C$14&gt;0,Gradesheet!#REF!,Gradesheet!#REF!)</f>
        <v>#REF!</v>
      </c>
      <c r="F175" s="138" t="e">
        <f>IF(Outline!$C$14&gt;0,Gradesheet!#REF!,"NA")</f>
        <v>#REF!</v>
      </c>
      <c r="G175" s="138" t="e">
        <f>IF(Outline!$C$14&gt;0,Gradesheet!#REF!,Gradesheet!#REF!)</f>
        <v>#REF!</v>
      </c>
      <c r="H175" s="139" t="e">
        <f t="shared" si="3"/>
        <v>#REF!</v>
      </c>
    </row>
    <row r="176" spans="2:8" hidden="1" x14ac:dyDescent="0.25">
      <c r="B176" s="90" t="e">
        <f>Gradesheet!#REF!</f>
        <v>#REF!</v>
      </c>
      <c r="C176" s="91" t="e">
        <f>(Gradesheet!#REF!)</f>
        <v>#REF!</v>
      </c>
      <c r="D176" s="92" t="e">
        <f>IF(Outline!$C$14&gt;0,Gradesheet!#REF!,Gradesheet!#REF!)</f>
        <v>#REF!</v>
      </c>
      <c r="E176" s="138" t="e">
        <f>IF(Outline!$C$14&gt;0,Gradesheet!#REF!,Gradesheet!#REF!)</f>
        <v>#REF!</v>
      </c>
      <c r="F176" s="138" t="e">
        <f>IF(Outline!$C$14&gt;0,Gradesheet!#REF!,"NA")</f>
        <v>#REF!</v>
      </c>
      <c r="G176" s="138" t="e">
        <f>IF(Outline!$C$14&gt;0,Gradesheet!#REF!,Gradesheet!#REF!)</f>
        <v>#REF!</v>
      </c>
      <c r="H176" s="139" t="e">
        <f t="shared" si="3"/>
        <v>#REF!</v>
      </c>
    </row>
    <row r="177" spans="2:8" hidden="1" x14ac:dyDescent="0.25">
      <c r="B177" s="90" t="e">
        <f>Gradesheet!#REF!</f>
        <v>#REF!</v>
      </c>
      <c r="C177" s="91" t="e">
        <f>(Gradesheet!#REF!)</f>
        <v>#REF!</v>
      </c>
      <c r="D177" s="92" t="e">
        <f>IF(Outline!$C$14&gt;0,Gradesheet!#REF!,Gradesheet!#REF!)</f>
        <v>#REF!</v>
      </c>
      <c r="E177" s="138" t="e">
        <f>IF(Outline!$C$14&gt;0,Gradesheet!#REF!,Gradesheet!#REF!)</f>
        <v>#REF!</v>
      </c>
      <c r="F177" s="138" t="e">
        <f>IF(Outline!$C$14&gt;0,Gradesheet!#REF!,"NA")</f>
        <v>#REF!</v>
      </c>
      <c r="G177" s="138" t="e">
        <f>IF(Outline!$C$14&gt;0,Gradesheet!#REF!,Gradesheet!#REF!)</f>
        <v>#REF!</v>
      </c>
      <c r="H177" s="139" t="e">
        <f t="shared" si="3"/>
        <v>#REF!</v>
      </c>
    </row>
    <row r="178" spans="2:8" hidden="1" x14ac:dyDescent="0.25">
      <c r="B178" s="90" t="e">
        <f>Gradesheet!#REF!</f>
        <v>#REF!</v>
      </c>
      <c r="C178" s="91" t="e">
        <f>(Gradesheet!#REF!)</f>
        <v>#REF!</v>
      </c>
      <c r="D178" s="92" t="e">
        <f>IF(Outline!$C$14&gt;0,Gradesheet!#REF!,Gradesheet!#REF!)</f>
        <v>#REF!</v>
      </c>
      <c r="E178" s="138" t="e">
        <f>IF(Outline!$C$14&gt;0,Gradesheet!#REF!,Gradesheet!#REF!)</f>
        <v>#REF!</v>
      </c>
      <c r="F178" s="138" t="e">
        <f>IF(Outline!$C$14&gt;0,Gradesheet!#REF!,"NA")</f>
        <v>#REF!</v>
      </c>
      <c r="G178" s="138" t="e">
        <f>IF(Outline!$C$14&gt;0,Gradesheet!#REF!,Gradesheet!#REF!)</f>
        <v>#REF!</v>
      </c>
      <c r="H178" s="139" t="e">
        <f t="shared" si="3"/>
        <v>#REF!</v>
      </c>
    </row>
    <row r="179" spans="2:8" hidden="1" x14ac:dyDescent="0.25">
      <c r="B179" s="90" t="e">
        <f>Gradesheet!#REF!</f>
        <v>#REF!</v>
      </c>
      <c r="C179" s="91" t="e">
        <f>(Gradesheet!#REF!)</f>
        <v>#REF!</v>
      </c>
      <c r="D179" s="92" t="e">
        <f>IF(Outline!$C$14&gt;0,Gradesheet!#REF!,Gradesheet!#REF!)</f>
        <v>#REF!</v>
      </c>
      <c r="E179" s="138" t="e">
        <f>IF(Outline!$C$14&gt;0,Gradesheet!#REF!,Gradesheet!#REF!)</f>
        <v>#REF!</v>
      </c>
      <c r="F179" s="138" t="e">
        <f>IF(Outline!$C$14&gt;0,Gradesheet!#REF!,"NA")</f>
        <v>#REF!</v>
      </c>
      <c r="G179" s="138" t="e">
        <f>IF(Outline!$C$14&gt;0,Gradesheet!#REF!,Gradesheet!#REF!)</f>
        <v>#REF!</v>
      </c>
      <c r="H179" s="139" t="e">
        <f t="shared" si="3"/>
        <v>#REF!</v>
      </c>
    </row>
    <row r="180" spans="2:8" hidden="1" x14ac:dyDescent="0.25">
      <c r="B180" s="90" t="e">
        <f>Gradesheet!#REF!</f>
        <v>#REF!</v>
      </c>
      <c r="C180" s="91" t="e">
        <f>(Gradesheet!#REF!)</f>
        <v>#REF!</v>
      </c>
      <c r="D180" s="92" t="e">
        <f>IF(Outline!$C$14&gt;0,Gradesheet!#REF!,Gradesheet!#REF!)</f>
        <v>#REF!</v>
      </c>
      <c r="E180" s="138" t="e">
        <f>IF(Outline!$C$14&gt;0,Gradesheet!#REF!,Gradesheet!#REF!)</f>
        <v>#REF!</v>
      </c>
      <c r="F180" s="138" t="e">
        <f>IF(Outline!$C$14&gt;0,Gradesheet!#REF!,"NA")</f>
        <v>#REF!</v>
      </c>
      <c r="G180" s="138" t="e">
        <f>IF(Outline!$C$14&gt;0,Gradesheet!#REF!,Gradesheet!#REF!)</f>
        <v>#REF!</v>
      </c>
      <c r="H180" s="139" t="e">
        <f t="shared" si="3"/>
        <v>#REF!</v>
      </c>
    </row>
    <row r="181" spans="2:8" hidden="1" x14ac:dyDescent="0.25">
      <c r="B181" s="90" t="e">
        <f>Gradesheet!#REF!</f>
        <v>#REF!</v>
      </c>
      <c r="C181" s="91" t="e">
        <f>(Gradesheet!#REF!)</f>
        <v>#REF!</v>
      </c>
      <c r="D181" s="92" t="e">
        <f>IF(Outline!$C$14&gt;0,Gradesheet!#REF!,Gradesheet!#REF!)</f>
        <v>#REF!</v>
      </c>
      <c r="E181" s="138" t="e">
        <f>IF(Outline!$C$14&gt;0,Gradesheet!#REF!,Gradesheet!#REF!)</f>
        <v>#REF!</v>
      </c>
      <c r="F181" s="138" t="e">
        <f>IF(Outline!$C$14&gt;0,Gradesheet!#REF!,"NA")</f>
        <v>#REF!</v>
      </c>
      <c r="G181" s="138" t="e">
        <f>IF(Outline!$C$14&gt;0,Gradesheet!#REF!,Gradesheet!#REF!)</f>
        <v>#REF!</v>
      </c>
      <c r="H181" s="139" t="e">
        <f t="shared" si="3"/>
        <v>#REF!</v>
      </c>
    </row>
    <row r="182" spans="2:8" hidden="1" x14ac:dyDescent="0.25">
      <c r="B182" s="90" t="e">
        <f>Gradesheet!#REF!</f>
        <v>#REF!</v>
      </c>
      <c r="C182" s="91" t="e">
        <f>(Gradesheet!#REF!)</f>
        <v>#REF!</v>
      </c>
      <c r="D182" s="92" t="e">
        <f>IF(Outline!$C$14&gt;0,Gradesheet!#REF!,Gradesheet!#REF!)</f>
        <v>#REF!</v>
      </c>
      <c r="E182" s="138" t="e">
        <f>IF(Outline!$C$14&gt;0,Gradesheet!#REF!,Gradesheet!#REF!)</f>
        <v>#REF!</v>
      </c>
      <c r="F182" s="138" t="e">
        <f>IF(Outline!$C$14&gt;0,Gradesheet!#REF!,"NA")</f>
        <v>#REF!</v>
      </c>
      <c r="G182" s="138" t="e">
        <f>IF(Outline!$C$14&gt;0,Gradesheet!#REF!,Gradesheet!#REF!)</f>
        <v>#REF!</v>
      </c>
      <c r="H182" s="139" t="e">
        <f t="shared" si="3"/>
        <v>#REF!</v>
      </c>
    </row>
    <row r="183" spans="2:8" hidden="1" x14ac:dyDescent="0.25">
      <c r="B183" s="90" t="e">
        <f>Gradesheet!#REF!</f>
        <v>#REF!</v>
      </c>
      <c r="C183" s="91" t="e">
        <f>(Gradesheet!#REF!)</f>
        <v>#REF!</v>
      </c>
      <c r="D183" s="92" t="e">
        <f>IF(Outline!$C$14&gt;0,Gradesheet!#REF!,Gradesheet!#REF!)</f>
        <v>#REF!</v>
      </c>
      <c r="E183" s="138" t="e">
        <f>IF(Outline!$C$14&gt;0,Gradesheet!#REF!,Gradesheet!#REF!)</f>
        <v>#REF!</v>
      </c>
      <c r="F183" s="138" t="e">
        <f>IF(Outline!$C$14&gt;0,Gradesheet!#REF!,"NA")</f>
        <v>#REF!</v>
      </c>
      <c r="G183" s="138" t="e">
        <f>IF(Outline!$C$14&gt;0,Gradesheet!#REF!,Gradesheet!#REF!)</f>
        <v>#REF!</v>
      </c>
      <c r="H183" s="139" t="e">
        <f t="shared" si="3"/>
        <v>#REF!</v>
      </c>
    </row>
    <row r="184" spans="2:8" hidden="1" x14ac:dyDescent="0.25">
      <c r="B184" s="90" t="e">
        <f>Gradesheet!#REF!</f>
        <v>#REF!</v>
      </c>
      <c r="C184" s="91" t="e">
        <f>(Gradesheet!#REF!)</f>
        <v>#REF!</v>
      </c>
      <c r="D184" s="92" t="e">
        <f>IF(Outline!$C$14&gt;0,Gradesheet!#REF!,Gradesheet!#REF!)</f>
        <v>#REF!</v>
      </c>
      <c r="E184" s="138" t="e">
        <f>IF(Outline!$C$14&gt;0,Gradesheet!#REF!,Gradesheet!#REF!)</f>
        <v>#REF!</v>
      </c>
      <c r="F184" s="138" t="e">
        <f>IF(Outline!$C$14&gt;0,Gradesheet!#REF!,"NA")</f>
        <v>#REF!</v>
      </c>
      <c r="G184" s="138" t="e">
        <f>IF(Outline!$C$14&gt;0,Gradesheet!#REF!,Gradesheet!#REF!)</f>
        <v>#REF!</v>
      </c>
      <c r="H184" s="139" t="e">
        <f t="shared" si="3"/>
        <v>#REF!</v>
      </c>
    </row>
    <row r="185" spans="2:8" hidden="1" x14ac:dyDescent="0.25">
      <c r="B185" s="90" t="e">
        <f>Gradesheet!#REF!</f>
        <v>#REF!</v>
      </c>
      <c r="C185" s="91" t="e">
        <f>(Gradesheet!#REF!)</f>
        <v>#REF!</v>
      </c>
      <c r="D185" s="92" t="e">
        <f>IF(Outline!$C$14&gt;0,Gradesheet!#REF!,Gradesheet!#REF!)</f>
        <v>#REF!</v>
      </c>
      <c r="E185" s="138" t="e">
        <f>IF(Outline!$C$14&gt;0,Gradesheet!#REF!,Gradesheet!#REF!)</f>
        <v>#REF!</v>
      </c>
      <c r="F185" s="138" t="e">
        <f>IF(Outline!$C$14&gt;0,Gradesheet!#REF!,"NA")</f>
        <v>#REF!</v>
      </c>
      <c r="G185" s="138" t="e">
        <f>IF(Outline!$C$14&gt;0,Gradesheet!#REF!,Gradesheet!#REF!)</f>
        <v>#REF!</v>
      </c>
      <c r="H185" s="139" t="e">
        <f t="shared" si="3"/>
        <v>#REF!</v>
      </c>
    </row>
    <row r="186" spans="2:8" hidden="1" x14ac:dyDescent="0.25">
      <c r="B186" s="90" t="e">
        <f>Gradesheet!#REF!</f>
        <v>#REF!</v>
      </c>
      <c r="C186" s="91" t="e">
        <f>(Gradesheet!#REF!)</f>
        <v>#REF!</v>
      </c>
      <c r="D186" s="92" t="e">
        <f>IF(Outline!$C$14&gt;0,Gradesheet!#REF!,Gradesheet!#REF!)</f>
        <v>#REF!</v>
      </c>
      <c r="E186" s="138" t="e">
        <f>IF(Outline!$C$14&gt;0,Gradesheet!#REF!,Gradesheet!#REF!)</f>
        <v>#REF!</v>
      </c>
      <c r="F186" s="138" t="e">
        <f>IF(Outline!$C$14&gt;0,Gradesheet!#REF!,"NA")</f>
        <v>#REF!</v>
      </c>
      <c r="G186" s="138" t="e">
        <f>IF(Outline!$C$14&gt;0,Gradesheet!#REF!,Gradesheet!#REF!)</f>
        <v>#REF!</v>
      </c>
      <c r="H186" s="139" t="e">
        <f t="shared" si="3"/>
        <v>#REF!</v>
      </c>
    </row>
    <row r="187" spans="2:8" hidden="1" x14ac:dyDescent="0.25">
      <c r="B187" s="90" t="e">
        <f>Gradesheet!#REF!</f>
        <v>#REF!</v>
      </c>
      <c r="C187" s="91" t="e">
        <f>(Gradesheet!#REF!)</f>
        <v>#REF!</v>
      </c>
      <c r="D187" s="92" t="e">
        <f>IF(Outline!$C$14&gt;0,Gradesheet!#REF!,Gradesheet!#REF!)</f>
        <v>#REF!</v>
      </c>
      <c r="E187" s="138" t="e">
        <f>IF(Outline!$C$14&gt;0,Gradesheet!#REF!,Gradesheet!#REF!)</f>
        <v>#REF!</v>
      </c>
      <c r="F187" s="138" t="e">
        <f>IF(Outline!$C$14&gt;0,Gradesheet!#REF!,"NA")</f>
        <v>#REF!</v>
      </c>
      <c r="G187" s="138" t="e">
        <f>IF(Outline!$C$14&gt;0,Gradesheet!#REF!,Gradesheet!#REF!)</f>
        <v>#REF!</v>
      </c>
      <c r="H187" s="139" t="e">
        <f t="shared" si="3"/>
        <v>#REF!</v>
      </c>
    </row>
    <row r="188" spans="2:8" hidden="1" x14ac:dyDescent="0.25">
      <c r="B188" s="90" t="e">
        <f>Gradesheet!#REF!</f>
        <v>#REF!</v>
      </c>
      <c r="C188" s="91" t="e">
        <f>(Gradesheet!#REF!)</f>
        <v>#REF!</v>
      </c>
      <c r="D188" s="92" t="e">
        <f>IF(Outline!$C$14&gt;0,Gradesheet!#REF!,Gradesheet!#REF!)</f>
        <v>#REF!</v>
      </c>
      <c r="E188" s="138" t="e">
        <f>IF(Outline!$C$14&gt;0,Gradesheet!#REF!,Gradesheet!#REF!)</f>
        <v>#REF!</v>
      </c>
      <c r="F188" s="138" t="e">
        <f>IF(Outline!$C$14&gt;0,Gradesheet!#REF!,"NA")</f>
        <v>#REF!</v>
      </c>
      <c r="G188" s="138" t="e">
        <f>IF(Outline!$C$14&gt;0,Gradesheet!#REF!,Gradesheet!#REF!)</f>
        <v>#REF!</v>
      </c>
      <c r="H188" s="139" t="e">
        <f t="shared" si="3"/>
        <v>#REF!</v>
      </c>
    </row>
    <row r="189" spans="2:8" hidden="1" x14ac:dyDescent="0.25">
      <c r="B189" s="90" t="e">
        <f>Gradesheet!#REF!</f>
        <v>#REF!</v>
      </c>
      <c r="C189" s="91" t="e">
        <f>(Gradesheet!#REF!)</f>
        <v>#REF!</v>
      </c>
      <c r="D189" s="92" t="e">
        <f>IF(Outline!$C$14&gt;0,Gradesheet!#REF!,Gradesheet!#REF!)</f>
        <v>#REF!</v>
      </c>
      <c r="E189" s="138" t="e">
        <f>IF(Outline!$C$14&gt;0,Gradesheet!#REF!,Gradesheet!#REF!)</f>
        <v>#REF!</v>
      </c>
      <c r="F189" s="138" t="e">
        <f>IF(Outline!$C$14&gt;0,Gradesheet!#REF!,"NA")</f>
        <v>#REF!</v>
      </c>
      <c r="G189" s="138" t="e">
        <f>IF(Outline!$C$14&gt;0,Gradesheet!#REF!,Gradesheet!#REF!)</f>
        <v>#REF!</v>
      </c>
      <c r="H189" s="139" t="e">
        <f t="shared" si="3"/>
        <v>#REF!</v>
      </c>
    </row>
    <row r="190" spans="2:8" hidden="1" x14ac:dyDescent="0.25">
      <c r="B190" s="90" t="e">
        <f>Gradesheet!#REF!</f>
        <v>#REF!</v>
      </c>
      <c r="C190" s="91" t="e">
        <f>(Gradesheet!#REF!)</f>
        <v>#REF!</v>
      </c>
      <c r="D190" s="92" t="e">
        <f>IF(Outline!$C$14&gt;0,Gradesheet!#REF!,Gradesheet!#REF!)</f>
        <v>#REF!</v>
      </c>
      <c r="E190" s="138" t="e">
        <f>IF(Outline!$C$14&gt;0,Gradesheet!#REF!,Gradesheet!#REF!)</f>
        <v>#REF!</v>
      </c>
      <c r="F190" s="138" t="e">
        <f>IF(Outline!$C$14&gt;0,Gradesheet!#REF!,"NA")</f>
        <v>#REF!</v>
      </c>
      <c r="G190" s="138" t="e">
        <f>IF(Outline!$C$14&gt;0,Gradesheet!#REF!,Gradesheet!#REF!)</f>
        <v>#REF!</v>
      </c>
      <c r="H190" s="139" t="e">
        <f t="shared" si="3"/>
        <v>#REF!</v>
      </c>
    </row>
    <row r="191" spans="2:8" hidden="1" x14ac:dyDescent="0.25">
      <c r="B191" s="90" t="e">
        <f>Gradesheet!#REF!</f>
        <v>#REF!</v>
      </c>
      <c r="C191" s="91" t="e">
        <f>(Gradesheet!#REF!)</f>
        <v>#REF!</v>
      </c>
      <c r="D191" s="92" t="e">
        <f>IF(Outline!$C$14&gt;0,Gradesheet!#REF!,Gradesheet!#REF!)</f>
        <v>#REF!</v>
      </c>
      <c r="E191" s="138" t="e">
        <f>IF(Outline!$C$14&gt;0,Gradesheet!#REF!,Gradesheet!#REF!)</f>
        <v>#REF!</v>
      </c>
      <c r="F191" s="138" t="e">
        <f>IF(Outline!$C$14&gt;0,Gradesheet!#REF!,"NA")</f>
        <v>#REF!</v>
      </c>
      <c r="G191" s="138" t="e">
        <f>IF(Outline!$C$14&gt;0,Gradesheet!#REF!,Gradesheet!#REF!)</f>
        <v>#REF!</v>
      </c>
      <c r="H191" s="139" t="e">
        <f t="shared" si="3"/>
        <v>#REF!</v>
      </c>
    </row>
    <row r="192" spans="2:8" hidden="1" x14ac:dyDescent="0.25">
      <c r="B192" s="90" t="e">
        <f>Gradesheet!#REF!</f>
        <v>#REF!</v>
      </c>
      <c r="C192" s="91" t="e">
        <f>(Gradesheet!#REF!)</f>
        <v>#REF!</v>
      </c>
      <c r="D192" s="92" t="e">
        <f>IF(Outline!$C$14&gt;0,Gradesheet!#REF!,Gradesheet!#REF!)</f>
        <v>#REF!</v>
      </c>
      <c r="E192" s="138" t="e">
        <f>IF(Outline!$C$14&gt;0,Gradesheet!#REF!,Gradesheet!#REF!)</f>
        <v>#REF!</v>
      </c>
      <c r="F192" s="138" t="e">
        <f>IF(Outline!$C$14&gt;0,Gradesheet!#REF!,"NA")</f>
        <v>#REF!</v>
      </c>
      <c r="G192" s="138" t="e">
        <f>IF(Outline!$C$14&gt;0,Gradesheet!#REF!,Gradesheet!#REF!)</f>
        <v>#REF!</v>
      </c>
      <c r="H192" s="139" t="e">
        <f t="shared" si="3"/>
        <v>#REF!</v>
      </c>
    </row>
    <row r="193" spans="2:8" hidden="1" x14ac:dyDescent="0.25">
      <c r="B193" s="90" t="e">
        <f>Gradesheet!#REF!</f>
        <v>#REF!</v>
      </c>
      <c r="C193" s="91" t="e">
        <f>(Gradesheet!#REF!)</f>
        <v>#REF!</v>
      </c>
      <c r="D193" s="92" t="e">
        <f>IF(Outline!$C$14&gt;0,Gradesheet!#REF!,Gradesheet!#REF!)</f>
        <v>#REF!</v>
      </c>
      <c r="E193" s="138" t="e">
        <f>IF(Outline!$C$14&gt;0,Gradesheet!#REF!,Gradesheet!#REF!)</f>
        <v>#REF!</v>
      </c>
      <c r="F193" s="138" t="e">
        <f>IF(Outline!$C$14&gt;0,Gradesheet!#REF!,"NA")</f>
        <v>#REF!</v>
      </c>
      <c r="G193" s="138" t="e">
        <f>IF(Outline!$C$14&gt;0,Gradesheet!#REF!,Gradesheet!#REF!)</f>
        <v>#REF!</v>
      </c>
      <c r="H193" s="139" t="e">
        <f t="shared" si="3"/>
        <v>#REF!</v>
      </c>
    </row>
    <row r="194" spans="2:8" hidden="1" x14ac:dyDescent="0.25">
      <c r="B194" s="90" t="e">
        <f>Gradesheet!#REF!</f>
        <v>#REF!</v>
      </c>
      <c r="C194" s="91" t="e">
        <f>(Gradesheet!#REF!)</f>
        <v>#REF!</v>
      </c>
      <c r="D194" s="92" t="e">
        <f>IF(Outline!$C$14&gt;0,Gradesheet!#REF!,Gradesheet!#REF!)</f>
        <v>#REF!</v>
      </c>
      <c r="E194" s="138" t="e">
        <f>IF(Outline!$C$14&gt;0,Gradesheet!#REF!,Gradesheet!#REF!)</f>
        <v>#REF!</v>
      </c>
      <c r="F194" s="138" t="e">
        <f>IF(Outline!$C$14&gt;0,Gradesheet!#REF!,"NA")</f>
        <v>#REF!</v>
      </c>
      <c r="G194" s="138" t="e">
        <f>IF(Outline!$C$14&gt;0,Gradesheet!#REF!,Gradesheet!#REF!)</f>
        <v>#REF!</v>
      </c>
      <c r="H194" s="139" t="e">
        <f t="shared" si="3"/>
        <v>#REF!</v>
      </c>
    </row>
    <row r="195" spans="2:8" hidden="1" x14ac:dyDescent="0.25">
      <c r="B195" s="90" t="e">
        <f>Gradesheet!#REF!</f>
        <v>#REF!</v>
      </c>
      <c r="C195" s="91" t="e">
        <f>(Gradesheet!#REF!)</f>
        <v>#REF!</v>
      </c>
      <c r="D195" s="92" t="e">
        <f>IF(Outline!$C$14&gt;0,Gradesheet!#REF!,Gradesheet!#REF!)</f>
        <v>#REF!</v>
      </c>
      <c r="E195" s="138" t="e">
        <f>IF(Outline!$C$14&gt;0,Gradesheet!#REF!,Gradesheet!#REF!)</f>
        <v>#REF!</v>
      </c>
      <c r="F195" s="138" t="e">
        <f>IF(Outline!$C$14&gt;0,Gradesheet!#REF!,"NA")</f>
        <v>#REF!</v>
      </c>
      <c r="G195" s="138" t="e">
        <f>IF(Outline!$C$14&gt;0,Gradesheet!#REF!,Gradesheet!#REF!)</f>
        <v>#REF!</v>
      </c>
      <c r="H195" s="139" t="e">
        <f t="shared" si="3"/>
        <v>#REF!</v>
      </c>
    </row>
    <row r="196" spans="2:8" hidden="1" x14ac:dyDescent="0.25">
      <c r="B196" s="90" t="e">
        <f>Gradesheet!#REF!</f>
        <v>#REF!</v>
      </c>
      <c r="C196" s="91" t="e">
        <f>(Gradesheet!#REF!)</f>
        <v>#REF!</v>
      </c>
      <c r="D196" s="92" t="e">
        <f>IF(Outline!$C$14&gt;0,Gradesheet!#REF!,Gradesheet!#REF!)</f>
        <v>#REF!</v>
      </c>
      <c r="E196" s="138" t="e">
        <f>IF(Outline!$C$14&gt;0,Gradesheet!#REF!,Gradesheet!#REF!)</f>
        <v>#REF!</v>
      </c>
      <c r="F196" s="138" t="e">
        <f>IF(Outline!$C$14&gt;0,Gradesheet!#REF!,"NA")</f>
        <v>#REF!</v>
      </c>
      <c r="G196" s="138" t="e">
        <f>IF(Outline!$C$14&gt;0,Gradesheet!#REF!,Gradesheet!#REF!)</f>
        <v>#REF!</v>
      </c>
      <c r="H196" s="139" t="e">
        <f t="shared" si="3"/>
        <v>#REF!</v>
      </c>
    </row>
    <row r="197" spans="2:8" hidden="1" x14ac:dyDescent="0.25">
      <c r="B197" s="90" t="e">
        <f>Gradesheet!#REF!</f>
        <v>#REF!</v>
      </c>
      <c r="C197" s="91" t="e">
        <f>(Gradesheet!#REF!)</f>
        <v>#REF!</v>
      </c>
      <c r="D197" s="92" t="e">
        <f>IF(Outline!$C$14&gt;0,Gradesheet!#REF!,Gradesheet!#REF!)</f>
        <v>#REF!</v>
      </c>
      <c r="E197" s="138" t="e">
        <f>IF(Outline!$C$14&gt;0,Gradesheet!#REF!,Gradesheet!#REF!)</f>
        <v>#REF!</v>
      </c>
      <c r="F197" s="138" t="e">
        <f>IF(Outline!$C$14&gt;0,Gradesheet!#REF!,"NA")</f>
        <v>#REF!</v>
      </c>
      <c r="G197" s="138" t="e">
        <f>IF(Outline!$C$14&gt;0,Gradesheet!#REF!,Gradesheet!#REF!)</f>
        <v>#REF!</v>
      </c>
      <c r="H197" s="139" t="e">
        <f t="shared" si="3"/>
        <v>#REF!</v>
      </c>
    </row>
    <row r="198" spans="2:8" hidden="1" x14ac:dyDescent="0.25">
      <c r="B198" s="90" t="e">
        <f>Gradesheet!#REF!</f>
        <v>#REF!</v>
      </c>
      <c r="C198" s="91" t="e">
        <f>(Gradesheet!#REF!)</f>
        <v>#REF!</v>
      </c>
      <c r="D198" s="92" t="e">
        <f>IF(Outline!$C$14&gt;0,Gradesheet!#REF!,Gradesheet!#REF!)</f>
        <v>#REF!</v>
      </c>
      <c r="E198" s="138" t="e">
        <f>IF(Outline!$C$14&gt;0,Gradesheet!#REF!,Gradesheet!#REF!)</f>
        <v>#REF!</v>
      </c>
      <c r="F198" s="138" t="e">
        <f>IF(Outline!$C$14&gt;0,Gradesheet!#REF!,"NA")</f>
        <v>#REF!</v>
      </c>
      <c r="G198" s="138" t="e">
        <f>IF(Outline!$C$14&gt;0,Gradesheet!#REF!,Gradesheet!#REF!)</f>
        <v>#REF!</v>
      </c>
      <c r="H198" s="139" t="e">
        <f t="shared" si="3"/>
        <v>#REF!</v>
      </c>
    </row>
    <row r="199" spans="2:8" hidden="1" x14ac:dyDescent="0.25">
      <c r="B199" s="90" t="e">
        <f>Gradesheet!#REF!</f>
        <v>#REF!</v>
      </c>
      <c r="C199" s="91" t="e">
        <f>(Gradesheet!#REF!)</f>
        <v>#REF!</v>
      </c>
      <c r="D199" s="92" t="e">
        <f>IF(Outline!$C$14&gt;0,Gradesheet!#REF!,Gradesheet!#REF!)</f>
        <v>#REF!</v>
      </c>
      <c r="E199" s="138" t="e">
        <f>IF(Outline!$C$14&gt;0,Gradesheet!#REF!,Gradesheet!#REF!)</f>
        <v>#REF!</v>
      </c>
      <c r="F199" s="138" t="e">
        <f>IF(Outline!$C$14&gt;0,Gradesheet!#REF!,"NA")</f>
        <v>#REF!</v>
      </c>
      <c r="G199" s="138" t="e">
        <f>IF(Outline!$C$14&gt;0,Gradesheet!#REF!,Gradesheet!#REF!)</f>
        <v>#REF!</v>
      </c>
      <c r="H199" s="139" t="e">
        <f t="shared" ref="H199:H262" si="4">SUM(D199:G199)</f>
        <v>#REF!</v>
      </c>
    </row>
    <row r="200" spans="2:8" hidden="1" x14ac:dyDescent="0.25">
      <c r="B200" s="90" t="e">
        <f>Gradesheet!#REF!</f>
        <v>#REF!</v>
      </c>
      <c r="C200" s="91" t="e">
        <f>(Gradesheet!#REF!)</f>
        <v>#REF!</v>
      </c>
      <c r="D200" s="92" t="e">
        <f>IF(Outline!$C$14&gt;0,Gradesheet!#REF!,Gradesheet!#REF!)</f>
        <v>#REF!</v>
      </c>
      <c r="E200" s="138" t="e">
        <f>IF(Outline!$C$14&gt;0,Gradesheet!#REF!,Gradesheet!#REF!)</f>
        <v>#REF!</v>
      </c>
      <c r="F200" s="138" t="e">
        <f>IF(Outline!$C$14&gt;0,Gradesheet!#REF!,"NA")</f>
        <v>#REF!</v>
      </c>
      <c r="G200" s="138" t="e">
        <f>IF(Outline!$C$14&gt;0,Gradesheet!#REF!,Gradesheet!#REF!)</f>
        <v>#REF!</v>
      </c>
      <c r="H200" s="139" t="e">
        <f t="shared" si="4"/>
        <v>#REF!</v>
      </c>
    </row>
    <row r="201" spans="2:8" hidden="1" x14ac:dyDescent="0.25">
      <c r="B201" s="90" t="e">
        <f>Gradesheet!#REF!</f>
        <v>#REF!</v>
      </c>
      <c r="C201" s="91" t="e">
        <f>(Gradesheet!#REF!)</f>
        <v>#REF!</v>
      </c>
      <c r="D201" s="92" t="e">
        <f>IF(Outline!$C$14&gt;0,Gradesheet!#REF!,Gradesheet!#REF!)</f>
        <v>#REF!</v>
      </c>
      <c r="E201" s="138" t="e">
        <f>IF(Outline!$C$14&gt;0,Gradesheet!#REF!,Gradesheet!#REF!)</f>
        <v>#REF!</v>
      </c>
      <c r="F201" s="138" t="e">
        <f>IF(Outline!$C$14&gt;0,Gradesheet!#REF!,"NA")</f>
        <v>#REF!</v>
      </c>
      <c r="G201" s="138" t="e">
        <f>IF(Outline!$C$14&gt;0,Gradesheet!#REF!,Gradesheet!#REF!)</f>
        <v>#REF!</v>
      </c>
      <c r="H201" s="139" t="e">
        <f t="shared" si="4"/>
        <v>#REF!</v>
      </c>
    </row>
    <row r="202" spans="2:8" hidden="1" x14ac:dyDescent="0.25">
      <c r="B202" s="90" t="e">
        <f>Gradesheet!#REF!</f>
        <v>#REF!</v>
      </c>
      <c r="C202" s="91" t="e">
        <f>(Gradesheet!#REF!)</f>
        <v>#REF!</v>
      </c>
      <c r="D202" s="92" t="e">
        <f>IF(Outline!$C$14&gt;0,Gradesheet!#REF!,Gradesheet!#REF!)</f>
        <v>#REF!</v>
      </c>
      <c r="E202" s="138" t="e">
        <f>IF(Outline!$C$14&gt;0,Gradesheet!#REF!,Gradesheet!#REF!)</f>
        <v>#REF!</v>
      </c>
      <c r="F202" s="138" t="e">
        <f>IF(Outline!$C$14&gt;0,Gradesheet!#REF!,"NA")</f>
        <v>#REF!</v>
      </c>
      <c r="G202" s="138" t="e">
        <f>IF(Outline!$C$14&gt;0,Gradesheet!#REF!,Gradesheet!#REF!)</f>
        <v>#REF!</v>
      </c>
      <c r="H202" s="139" t="e">
        <f t="shared" si="4"/>
        <v>#REF!</v>
      </c>
    </row>
    <row r="203" spans="2:8" hidden="1" x14ac:dyDescent="0.25">
      <c r="B203" s="90" t="e">
        <f>Gradesheet!#REF!</f>
        <v>#REF!</v>
      </c>
      <c r="C203" s="91" t="e">
        <f>(Gradesheet!#REF!)</f>
        <v>#REF!</v>
      </c>
      <c r="D203" s="92" t="e">
        <f>IF(Outline!$C$14&gt;0,Gradesheet!#REF!,Gradesheet!#REF!)</f>
        <v>#REF!</v>
      </c>
      <c r="E203" s="138" t="e">
        <f>IF(Outline!$C$14&gt;0,Gradesheet!#REF!,Gradesheet!#REF!)</f>
        <v>#REF!</v>
      </c>
      <c r="F203" s="138" t="e">
        <f>IF(Outline!$C$14&gt;0,Gradesheet!#REF!,"NA")</f>
        <v>#REF!</v>
      </c>
      <c r="G203" s="138" t="e">
        <f>IF(Outline!$C$14&gt;0,Gradesheet!#REF!,Gradesheet!#REF!)</f>
        <v>#REF!</v>
      </c>
      <c r="H203" s="139" t="e">
        <f t="shared" si="4"/>
        <v>#REF!</v>
      </c>
    </row>
    <row r="204" spans="2:8" hidden="1" x14ac:dyDescent="0.25">
      <c r="B204" s="90" t="e">
        <f>Gradesheet!#REF!</f>
        <v>#REF!</v>
      </c>
      <c r="C204" s="91" t="e">
        <f>(Gradesheet!#REF!)</f>
        <v>#REF!</v>
      </c>
      <c r="D204" s="92" t="e">
        <f>IF(Outline!$C$14&gt;0,Gradesheet!#REF!,Gradesheet!#REF!)</f>
        <v>#REF!</v>
      </c>
      <c r="E204" s="138" t="e">
        <f>IF(Outline!$C$14&gt;0,Gradesheet!#REF!,Gradesheet!#REF!)</f>
        <v>#REF!</v>
      </c>
      <c r="F204" s="138" t="e">
        <f>IF(Outline!$C$14&gt;0,Gradesheet!#REF!,"NA")</f>
        <v>#REF!</v>
      </c>
      <c r="G204" s="138" t="e">
        <f>IF(Outline!$C$14&gt;0,Gradesheet!#REF!,Gradesheet!#REF!)</f>
        <v>#REF!</v>
      </c>
      <c r="H204" s="139" t="e">
        <f t="shared" si="4"/>
        <v>#REF!</v>
      </c>
    </row>
    <row r="205" spans="2:8" hidden="1" x14ac:dyDescent="0.25">
      <c r="B205" s="90" t="e">
        <f>Gradesheet!#REF!</f>
        <v>#REF!</v>
      </c>
      <c r="C205" s="91" t="e">
        <f>(Gradesheet!#REF!)</f>
        <v>#REF!</v>
      </c>
      <c r="D205" s="92" t="e">
        <f>IF(Outline!$C$14&gt;0,Gradesheet!#REF!,Gradesheet!#REF!)</f>
        <v>#REF!</v>
      </c>
      <c r="E205" s="138" t="e">
        <f>IF(Outline!$C$14&gt;0,Gradesheet!#REF!,Gradesheet!#REF!)</f>
        <v>#REF!</v>
      </c>
      <c r="F205" s="138" t="e">
        <f>IF(Outline!$C$14&gt;0,Gradesheet!#REF!,"NA")</f>
        <v>#REF!</v>
      </c>
      <c r="G205" s="138" t="e">
        <f>IF(Outline!$C$14&gt;0,Gradesheet!#REF!,Gradesheet!#REF!)</f>
        <v>#REF!</v>
      </c>
      <c r="H205" s="139" t="e">
        <f t="shared" si="4"/>
        <v>#REF!</v>
      </c>
    </row>
    <row r="206" spans="2:8" hidden="1" x14ac:dyDescent="0.25">
      <c r="B206" s="90" t="e">
        <f>Gradesheet!#REF!</f>
        <v>#REF!</v>
      </c>
      <c r="C206" s="91" t="e">
        <f>(Gradesheet!#REF!)</f>
        <v>#REF!</v>
      </c>
      <c r="D206" s="92" t="e">
        <f>IF(Outline!$C$14&gt;0,Gradesheet!#REF!,Gradesheet!#REF!)</f>
        <v>#REF!</v>
      </c>
      <c r="E206" s="138" t="e">
        <f>IF(Outline!$C$14&gt;0,Gradesheet!#REF!,Gradesheet!#REF!)</f>
        <v>#REF!</v>
      </c>
      <c r="F206" s="138" t="e">
        <f>IF(Outline!$C$14&gt;0,Gradesheet!#REF!,"NA")</f>
        <v>#REF!</v>
      </c>
      <c r="G206" s="138" t="e">
        <f>IF(Outline!$C$14&gt;0,Gradesheet!#REF!,Gradesheet!#REF!)</f>
        <v>#REF!</v>
      </c>
      <c r="H206" s="139" t="e">
        <f t="shared" si="4"/>
        <v>#REF!</v>
      </c>
    </row>
    <row r="207" spans="2:8" hidden="1" x14ac:dyDescent="0.25">
      <c r="B207" s="90" t="e">
        <f>Gradesheet!#REF!</f>
        <v>#REF!</v>
      </c>
      <c r="C207" s="91" t="e">
        <f>(Gradesheet!#REF!)</f>
        <v>#REF!</v>
      </c>
      <c r="D207" s="92" t="e">
        <f>IF(Outline!$C$14&gt;0,Gradesheet!#REF!,Gradesheet!#REF!)</f>
        <v>#REF!</v>
      </c>
      <c r="E207" s="138" t="e">
        <f>IF(Outline!$C$14&gt;0,Gradesheet!#REF!,Gradesheet!#REF!)</f>
        <v>#REF!</v>
      </c>
      <c r="F207" s="138" t="e">
        <f>IF(Outline!$C$14&gt;0,Gradesheet!#REF!,"NA")</f>
        <v>#REF!</v>
      </c>
      <c r="G207" s="138" t="e">
        <f>IF(Outline!$C$14&gt;0,Gradesheet!#REF!,Gradesheet!#REF!)</f>
        <v>#REF!</v>
      </c>
      <c r="H207" s="139" t="e">
        <f t="shared" si="4"/>
        <v>#REF!</v>
      </c>
    </row>
    <row r="208" spans="2:8" hidden="1" x14ac:dyDescent="0.25">
      <c r="B208" s="90" t="e">
        <f>Gradesheet!#REF!</f>
        <v>#REF!</v>
      </c>
      <c r="C208" s="91" t="e">
        <f>(Gradesheet!#REF!)</f>
        <v>#REF!</v>
      </c>
      <c r="D208" s="92" t="e">
        <f>IF(Outline!$C$14&gt;0,Gradesheet!#REF!,Gradesheet!#REF!)</f>
        <v>#REF!</v>
      </c>
      <c r="E208" s="138" t="e">
        <f>IF(Outline!$C$14&gt;0,Gradesheet!#REF!,Gradesheet!#REF!)</f>
        <v>#REF!</v>
      </c>
      <c r="F208" s="138" t="e">
        <f>IF(Outline!$C$14&gt;0,Gradesheet!#REF!,"NA")</f>
        <v>#REF!</v>
      </c>
      <c r="G208" s="138" t="e">
        <f>IF(Outline!$C$14&gt;0,Gradesheet!#REF!,Gradesheet!#REF!)</f>
        <v>#REF!</v>
      </c>
      <c r="H208" s="139" t="e">
        <f t="shared" si="4"/>
        <v>#REF!</v>
      </c>
    </row>
    <row r="209" spans="2:8" hidden="1" x14ac:dyDescent="0.25">
      <c r="B209" s="90" t="e">
        <f>Gradesheet!#REF!</f>
        <v>#REF!</v>
      </c>
      <c r="C209" s="91" t="e">
        <f>(Gradesheet!#REF!)</f>
        <v>#REF!</v>
      </c>
      <c r="D209" s="92" t="e">
        <f>IF(Outline!$C$14&gt;0,Gradesheet!#REF!,Gradesheet!#REF!)</f>
        <v>#REF!</v>
      </c>
      <c r="E209" s="138" t="e">
        <f>IF(Outline!$C$14&gt;0,Gradesheet!#REF!,Gradesheet!#REF!)</f>
        <v>#REF!</v>
      </c>
      <c r="F209" s="138" t="e">
        <f>IF(Outline!$C$14&gt;0,Gradesheet!#REF!,"NA")</f>
        <v>#REF!</v>
      </c>
      <c r="G209" s="138" t="e">
        <f>IF(Outline!$C$14&gt;0,Gradesheet!#REF!,Gradesheet!#REF!)</f>
        <v>#REF!</v>
      </c>
      <c r="H209" s="139" t="e">
        <f t="shared" si="4"/>
        <v>#REF!</v>
      </c>
    </row>
    <row r="210" spans="2:8" hidden="1" x14ac:dyDescent="0.25">
      <c r="B210" s="90" t="e">
        <f>Gradesheet!#REF!</f>
        <v>#REF!</v>
      </c>
      <c r="C210" s="91" t="e">
        <f>(Gradesheet!#REF!)</f>
        <v>#REF!</v>
      </c>
      <c r="D210" s="92" t="e">
        <f>IF(Outline!$C$14&gt;0,Gradesheet!#REF!,Gradesheet!#REF!)</f>
        <v>#REF!</v>
      </c>
      <c r="E210" s="138" t="e">
        <f>IF(Outline!$C$14&gt;0,Gradesheet!#REF!,Gradesheet!#REF!)</f>
        <v>#REF!</v>
      </c>
      <c r="F210" s="138" t="e">
        <f>IF(Outline!$C$14&gt;0,Gradesheet!#REF!,"NA")</f>
        <v>#REF!</v>
      </c>
      <c r="G210" s="138" t="e">
        <f>IF(Outline!$C$14&gt;0,Gradesheet!#REF!,Gradesheet!#REF!)</f>
        <v>#REF!</v>
      </c>
      <c r="H210" s="139" t="e">
        <f t="shared" si="4"/>
        <v>#REF!</v>
      </c>
    </row>
    <row r="211" spans="2:8" hidden="1" x14ac:dyDescent="0.25">
      <c r="B211" s="90" t="e">
        <f>Gradesheet!#REF!</f>
        <v>#REF!</v>
      </c>
      <c r="C211" s="91" t="e">
        <f>(Gradesheet!#REF!)</f>
        <v>#REF!</v>
      </c>
      <c r="D211" s="92" t="e">
        <f>IF(Outline!$C$14&gt;0,Gradesheet!#REF!,Gradesheet!#REF!)</f>
        <v>#REF!</v>
      </c>
      <c r="E211" s="138" t="e">
        <f>IF(Outline!$C$14&gt;0,Gradesheet!#REF!,Gradesheet!#REF!)</f>
        <v>#REF!</v>
      </c>
      <c r="F211" s="138" t="e">
        <f>IF(Outline!$C$14&gt;0,Gradesheet!#REF!,"NA")</f>
        <v>#REF!</v>
      </c>
      <c r="G211" s="138" t="e">
        <f>IF(Outline!$C$14&gt;0,Gradesheet!#REF!,Gradesheet!#REF!)</f>
        <v>#REF!</v>
      </c>
      <c r="H211" s="139" t="e">
        <f t="shared" si="4"/>
        <v>#REF!</v>
      </c>
    </row>
    <row r="212" spans="2:8" hidden="1" x14ac:dyDescent="0.25">
      <c r="B212" s="90" t="e">
        <f>Gradesheet!#REF!</f>
        <v>#REF!</v>
      </c>
      <c r="C212" s="91" t="e">
        <f>(Gradesheet!#REF!)</f>
        <v>#REF!</v>
      </c>
      <c r="D212" s="92" t="e">
        <f>IF(Outline!$C$14&gt;0,Gradesheet!#REF!,Gradesheet!#REF!)</f>
        <v>#REF!</v>
      </c>
      <c r="E212" s="138" t="e">
        <f>IF(Outline!$C$14&gt;0,Gradesheet!#REF!,Gradesheet!#REF!)</f>
        <v>#REF!</v>
      </c>
      <c r="F212" s="138" t="e">
        <f>IF(Outline!$C$14&gt;0,Gradesheet!#REF!,"NA")</f>
        <v>#REF!</v>
      </c>
      <c r="G212" s="138" t="e">
        <f>IF(Outline!$C$14&gt;0,Gradesheet!#REF!,Gradesheet!#REF!)</f>
        <v>#REF!</v>
      </c>
      <c r="H212" s="139" t="e">
        <f t="shared" si="4"/>
        <v>#REF!</v>
      </c>
    </row>
    <row r="213" spans="2:8" hidden="1" x14ac:dyDescent="0.25">
      <c r="B213" s="90" t="e">
        <f>Gradesheet!#REF!</f>
        <v>#REF!</v>
      </c>
      <c r="C213" s="91" t="e">
        <f>(Gradesheet!#REF!)</f>
        <v>#REF!</v>
      </c>
      <c r="D213" s="92" t="e">
        <f>IF(Outline!$C$14&gt;0,Gradesheet!#REF!,Gradesheet!#REF!)</f>
        <v>#REF!</v>
      </c>
      <c r="E213" s="138" t="e">
        <f>IF(Outline!$C$14&gt;0,Gradesheet!#REF!,Gradesheet!#REF!)</f>
        <v>#REF!</v>
      </c>
      <c r="F213" s="138" t="e">
        <f>IF(Outline!$C$14&gt;0,Gradesheet!#REF!,"NA")</f>
        <v>#REF!</v>
      </c>
      <c r="G213" s="138" t="e">
        <f>IF(Outline!$C$14&gt;0,Gradesheet!#REF!,Gradesheet!#REF!)</f>
        <v>#REF!</v>
      </c>
      <c r="H213" s="139" t="e">
        <f t="shared" si="4"/>
        <v>#REF!</v>
      </c>
    </row>
    <row r="214" spans="2:8" hidden="1" x14ac:dyDescent="0.25">
      <c r="B214" s="90" t="e">
        <f>Gradesheet!#REF!</f>
        <v>#REF!</v>
      </c>
      <c r="C214" s="91" t="e">
        <f>(Gradesheet!#REF!)</f>
        <v>#REF!</v>
      </c>
      <c r="D214" s="92" t="e">
        <f>IF(Outline!$C$14&gt;0,Gradesheet!#REF!,Gradesheet!#REF!)</f>
        <v>#REF!</v>
      </c>
      <c r="E214" s="138" t="e">
        <f>IF(Outline!$C$14&gt;0,Gradesheet!#REF!,Gradesheet!#REF!)</f>
        <v>#REF!</v>
      </c>
      <c r="F214" s="138" t="e">
        <f>IF(Outline!$C$14&gt;0,Gradesheet!#REF!,"NA")</f>
        <v>#REF!</v>
      </c>
      <c r="G214" s="138" t="e">
        <f>IF(Outline!$C$14&gt;0,Gradesheet!#REF!,Gradesheet!#REF!)</f>
        <v>#REF!</v>
      </c>
      <c r="H214" s="139" t="e">
        <f t="shared" si="4"/>
        <v>#REF!</v>
      </c>
    </row>
    <row r="215" spans="2:8" hidden="1" x14ac:dyDescent="0.25">
      <c r="B215" s="90" t="e">
        <f>Gradesheet!#REF!</f>
        <v>#REF!</v>
      </c>
      <c r="C215" s="91" t="e">
        <f>(Gradesheet!#REF!)</f>
        <v>#REF!</v>
      </c>
      <c r="D215" s="92" t="e">
        <f>IF(Outline!$C$14&gt;0,Gradesheet!#REF!,Gradesheet!#REF!)</f>
        <v>#REF!</v>
      </c>
      <c r="E215" s="138" t="e">
        <f>IF(Outline!$C$14&gt;0,Gradesheet!#REF!,Gradesheet!#REF!)</f>
        <v>#REF!</v>
      </c>
      <c r="F215" s="138" t="e">
        <f>IF(Outline!$C$14&gt;0,Gradesheet!#REF!,"NA")</f>
        <v>#REF!</v>
      </c>
      <c r="G215" s="138" t="e">
        <f>IF(Outline!$C$14&gt;0,Gradesheet!#REF!,Gradesheet!#REF!)</f>
        <v>#REF!</v>
      </c>
      <c r="H215" s="139" t="e">
        <f t="shared" si="4"/>
        <v>#REF!</v>
      </c>
    </row>
    <row r="216" spans="2:8" hidden="1" x14ac:dyDescent="0.25">
      <c r="B216" s="90" t="e">
        <f>Gradesheet!#REF!</f>
        <v>#REF!</v>
      </c>
      <c r="C216" s="91" t="e">
        <f>(Gradesheet!#REF!)</f>
        <v>#REF!</v>
      </c>
      <c r="D216" s="92" t="e">
        <f>IF(Outline!$C$14&gt;0,Gradesheet!#REF!,Gradesheet!#REF!)</f>
        <v>#REF!</v>
      </c>
      <c r="E216" s="138" t="e">
        <f>IF(Outline!$C$14&gt;0,Gradesheet!#REF!,Gradesheet!#REF!)</f>
        <v>#REF!</v>
      </c>
      <c r="F216" s="138" t="e">
        <f>IF(Outline!$C$14&gt;0,Gradesheet!#REF!,"NA")</f>
        <v>#REF!</v>
      </c>
      <c r="G216" s="138" t="e">
        <f>IF(Outline!$C$14&gt;0,Gradesheet!#REF!,Gradesheet!#REF!)</f>
        <v>#REF!</v>
      </c>
      <c r="H216" s="139" t="e">
        <f t="shared" si="4"/>
        <v>#REF!</v>
      </c>
    </row>
    <row r="217" spans="2:8" hidden="1" x14ac:dyDescent="0.25">
      <c r="B217" s="90" t="e">
        <f>Gradesheet!#REF!</f>
        <v>#REF!</v>
      </c>
      <c r="C217" s="91" t="e">
        <f>(Gradesheet!#REF!)</f>
        <v>#REF!</v>
      </c>
      <c r="D217" s="92" t="e">
        <f>IF(Outline!$C$14&gt;0,Gradesheet!#REF!,Gradesheet!#REF!)</f>
        <v>#REF!</v>
      </c>
      <c r="E217" s="138" t="e">
        <f>IF(Outline!$C$14&gt;0,Gradesheet!#REF!,Gradesheet!#REF!)</f>
        <v>#REF!</v>
      </c>
      <c r="F217" s="138" t="e">
        <f>IF(Outline!$C$14&gt;0,Gradesheet!#REF!,"NA")</f>
        <v>#REF!</v>
      </c>
      <c r="G217" s="138" t="e">
        <f>IF(Outline!$C$14&gt;0,Gradesheet!#REF!,Gradesheet!#REF!)</f>
        <v>#REF!</v>
      </c>
      <c r="H217" s="139" t="e">
        <f t="shared" si="4"/>
        <v>#REF!</v>
      </c>
    </row>
    <row r="218" spans="2:8" hidden="1" x14ac:dyDescent="0.25">
      <c r="B218" s="90" t="e">
        <f>Gradesheet!#REF!</f>
        <v>#REF!</v>
      </c>
      <c r="C218" s="91" t="e">
        <f>(Gradesheet!#REF!)</f>
        <v>#REF!</v>
      </c>
      <c r="D218" s="92" t="e">
        <f>IF(Outline!$C$14&gt;0,Gradesheet!#REF!,Gradesheet!#REF!)</f>
        <v>#REF!</v>
      </c>
      <c r="E218" s="138" t="e">
        <f>IF(Outline!$C$14&gt;0,Gradesheet!#REF!,Gradesheet!#REF!)</f>
        <v>#REF!</v>
      </c>
      <c r="F218" s="138" t="e">
        <f>IF(Outline!$C$14&gt;0,Gradesheet!#REF!,"NA")</f>
        <v>#REF!</v>
      </c>
      <c r="G218" s="138" t="e">
        <f>IF(Outline!$C$14&gt;0,Gradesheet!#REF!,Gradesheet!#REF!)</f>
        <v>#REF!</v>
      </c>
      <c r="H218" s="139" t="e">
        <f t="shared" si="4"/>
        <v>#REF!</v>
      </c>
    </row>
    <row r="219" spans="2:8" hidden="1" x14ac:dyDescent="0.25">
      <c r="B219" s="90" t="e">
        <f>Gradesheet!#REF!</f>
        <v>#REF!</v>
      </c>
      <c r="C219" s="91" t="e">
        <f>(Gradesheet!#REF!)</f>
        <v>#REF!</v>
      </c>
      <c r="D219" s="92" t="e">
        <f>IF(Outline!$C$14&gt;0,Gradesheet!#REF!,Gradesheet!#REF!)</f>
        <v>#REF!</v>
      </c>
      <c r="E219" s="138" t="e">
        <f>IF(Outline!$C$14&gt;0,Gradesheet!#REF!,Gradesheet!#REF!)</f>
        <v>#REF!</v>
      </c>
      <c r="F219" s="138" t="e">
        <f>IF(Outline!$C$14&gt;0,Gradesheet!#REF!,"NA")</f>
        <v>#REF!</v>
      </c>
      <c r="G219" s="138" t="e">
        <f>IF(Outline!$C$14&gt;0,Gradesheet!#REF!,Gradesheet!#REF!)</f>
        <v>#REF!</v>
      </c>
      <c r="H219" s="139" t="e">
        <f t="shared" si="4"/>
        <v>#REF!</v>
      </c>
    </row>
    <row r="220" spans="2:8" hidden="1" x14ac:dyDescent="0.25">
      <c r="B220" s="90" t="e">
        <f>Gradesheet!#REF!</f>
        <v>#REF!</v>
      </c>
      <c r="C220" s="91" t="e">
        <f>(Gradesheet!#REF!)</f>
        <v>#REF!</v>
      </c>
      <c r="D220" s="92" t="e">
        <f>IF(Outline!$C$14&gt;0,Gradesheet!#REF!,Gradesheet!#REF!)</f>
        <v>#REF!</v>
      </c>
      <c r="E220" s="138" t="e">
        <f>IF(Outline!$C$14&gt;0,Gradesheet!#REF!,Gradesheet!#REF!)</f>
        <v>#REF!</v>
      </c>
      <c r="F220" s="138" t="e">
        <f>IF(Outline!$C$14&gt;0,Gradesheet!#REF!,"NA")</f>
        <v>#REF!</v>
      </c>
      <c r="G220" s="138" t="e">
        <f>IF(Outline!$C$14&gt;0,Gradesheet!#REF!,Gradesheet!#REF!)</f>
        <v>#REF!</v>
      </c>
      <c r="H220" s="139" t="e">
        <f t="shared" si="4"/>
        <v>#REF!</v>
      </c>
    </row>
    <row r="221" spans="2:8" hidden="1" x14ac:dyDescent="0.25">
      <c r="B221" s="90" t="e">
        <f>Gradesheet!#REF!</f>
        <v>#REF!</v>
      </c>
      <c r="C221" s="91" t="e">
        <f>(Gradesheet!#REF!)</f>
        <v>#REF!</v>
      </c>
      <c r="D221" s="92" t="e">
        <f>IF(Outline!$C$14&gt;0,Gradesheet!#REF!,Gradesheet!#REF!)</f>
        <v>#REF!</v>
      </c>
      <c r="E221" s="138" t="e">
        <f>IF(Outline!$C$14&gt;0,Gradesheet!#REF!,Gradesheet!#REF!)</f>
        <v>#REF!</v>
      </c>
      <c r="F221" s="138" t="e">
        <f>IF(Outline!$C$14&gt;0,Gradesheet!#REF!,"NA")</f>
        <v>#REF!</v>
      </c>
      <c r="G221" s="138" t="e">
        <f>IF(Outline!$C$14&gt;0,Gradesheet!#REF!,Gradesheet!#REF!)</f>
        <v>#REF!</v>
      </c>
      <c r="H221" s="139" t="e">
        <f t="shared" si="4"/>
        <v>#REF!</v>
      </c>
    </row>
    <row r="222" spans="2:8" hidden="1" x14ac:dyDescent="0.25">
      <c r="B222" s="90" t="e">
        <f>Gradesheet!#REF!</f>
        <v>#REF!</v>
      </c>
      <c r="C222" s="91" t="e">
        <f>(Gradesheet!#REF!)</f>
        <v>#REF!</v>
      </c>
      <c r="D222" s="92" t="e">
        <f>IF(Outline!$C$14&gt;0,Gradesheet!#REF!,Gradesheet!#REF!)</f>
        <v>#REF!</v>
      </c>
      <c r="E222" s="138" t="e">
        <f>IF(Outline!$C$14&gt;0,Gradesheet!#REF!,Gradesheet!#REF!)</f>
        <v>#REF!</v>
      </c>
      <c r="F222" s="138" t="e">
        <f>IF(Outline!$C$14&gt;0,Gradesheet!#REF!,"NA")</f>
        <v>#REF!</v>
      </c>
      <c r="G222" s="138" t="e">
        <f>IF(Outline!$C$14&gt;0,Gradesheet!#REF!,Gradesheet!#REF!)</f>
        <v>#REF!</v>
      </c>
      <c r="H222" s="139" t="e">
        <f t="shared" si="4"/>
        <v>#REF!</v>
      </c>
    </row>
    <row r="223" spans="2:8" hidden="1" x14ac:dyDescent="0.25">
      <c r="B223" s="90" t="e">
        <f>Gradesheet!#REF!</f>
        <v>#REF!</v>
      </c>
      <c r="C223" s="91" t="e">
        <f>(Gradesheet!#REF!)</f>
        <v>#REF!</v>
      </c>
      <c r="D223" s="92" t="e">
        <f>IF(Outline!$C$14&gt;0,Gradesheet!#REF!,Gradesheet!#REF!)</f>
        <v>#REF!</v>
      </c>
      <c r="E223" s="138" t="e">
        <f>IF(Outline!$C$14&gt;0,Gradesheet!#REF!,Gradesheet!#REF!)</f>
        <v>#REF!</v>
      </c>
      <c r="F223" s="138" t="e">
        <f>IF(Outline!$C$14&gt;0,Gradesheet!#REF!,"NA")</f>
        <v>#REF!</v>
      </c>
      <c r="G223" s="138" t="e">
        <f>IF(Outline!$C$14&gt;0,Gradesheet!#REF!,Gradesheet!#REF!)</f>
        <v>#REF!</v>
      </c>
      <c r="H223" s="139" t="e">
        <f t="shared" si="4"/>
        <v>#REF!</v>
      </c>
    </row>
    <row r="224" spans="2:8" hidden="1" x14ac:dyDescent="0.25">
      <c r="B224" s="90" t="e">
        <f>Gradesheet!#REF!</f>
        <v>#REF!</v>
      </c>
      <c r="C224" s="91" t="e">
        <f>(Gradesheet!#REF!)</f>
        <v>#REF!</v>
      </c>
      <c r="D224" s="92" t="e">
        <f>IF(Outline!$C$14&gt;0,Gradesheet!#REF!,Gradesheet!#REF!)</f>
        <v>#REF!</v>
      </c>
      <c r="E224" s="138" t="e">
        <f>IF(Outline!$C$14&gt;0,Gradesheet!#REF!,Gradesheet!#REF!)</f>
        <v>#REF!</v>
      </c>
      <c r="F224" s="138" t="e">
        <f>IF(Outline!$C$14&gt;0,Gradesheet!#REF!,"NA")</f>
        <v>#REF!</v>
      </c>
      <c r="G224" s="138" t="e">
        <f>IF(Outline!$C$14&gt;0,Gradesheet!#REF!,Gradesheet!#REF!)</f>
        <v>#REF!</v>
      </c>
      <c r="H224" s="139" t="e">
        <f t="shared" si="4"/>
        <v>#REF!</v>
      </c>
    </row>
    <row r="225" spans="2:8" hidden="1" x14ac:dyDescent="0.25">
      <c r="B225" s="90" t="e">
        <f>Gradesheet!#REF!</f>
        <v>#REF!</v>
      </c>
      <c r="C225" s="91" t="e">
        <f>(Gradesheet!#REF!)</f>
        <v>#REF!</v>
      </c>
      <c r="D225" s="92" t="e">
        <f>IF(Outline!$C$14&gt;0,Gradesheet!#REF!,Gradesheet!#REF!)</f>
        <v>#REF!</v>
      </c>
      <c r="E225" s="138" t="e">
        <f>IF(Outline!$C$14&gt;0,Gradesheet!#REF!,Gradesheet!#REF!)</f>
        <v>#REF!</v>
      </c>
      <c r="F225" s="138" t="e">
        <f>IF(Outline!$C$14&gt;0,Gradesheet!#REF!,"NA")</f>
        <v>#REF!</v>
      </c>
      <c r="G225" s="138" t="e">
        <f>IF(Outline!$C$14&gt;0,Gradesheet!#REF!,Gradesheet!#REF!)</f>
        <v>#REF!</v>
      </c>
      <c r="H225" s="139" t="e">
        <f t="shared" si="4"/>
        <v>#REF!</v>
      </c>
    </row>
    <row r="226" spans="2:8" hidden="1" x14ac:dyDescent="0.25">
      <c r="B226" s="90" t="e">
        <f>Gradesheet!#REF!</f>
        <v>#REF!</v>
      </c>
      <c r="C226" s="91" t="e">
        <f>(Gradesheet!#REF!)</f>
        <v>#REF!</v>
      </c>
      <c r="D226" s="92" t="e">
        <f>IF(Outline!$C$14&gt;0,Gradesheet!#REF!,Gradesheet!#REF!)</f>
        <v>#REF!</v>
      </c>
      <c r="E226" s="138" t="e">
        <f>IF(Outline!$C$14&gt;0,Gradesheet!#REF!,Gradesheet!#REF!)</f>
        <v>#REF!</v>
      </c>
      <c r="F226" s="138" t="e">
        <f>IF(Outline!$C$14&gt;0,Gradesheet!#REF!,"NA")</f>
        <v>#REF!</v>
      </c>
      <c r="G226" s="138" t="e">
        <f>IF(Outline!$C$14&gt;0,Gradesheet!#REF!,Gradesheet!#REF!)</f>
        <v>#REF!</v>
      </c>
      <c r="H226" s="139" t="e">
        <f t="shared" si="4"/>
        <v>#REF!</v>
      </c>
    </row>
    <row r="227" spans="2:8" hidden="1" x14ac:dyDescent="0.25">
      <c r="B227" s="90" t="e">
        <f>Gradesheet!#REF!</f>
        <v>#REF!</v>
      </c>
      <c r="C227" s="91" t="e">
        <f>(Gradesheet!#REF!)</f>
        <v>#REF!</v>
      </c>
      <c r="D227" s="92" t="e">
        <f>IF(Outline!$C$14&gt;0,Gradesheet!#REF!,Gradesheet!#REF!)</f>
        <v>#REF!</v>
      </c>
      <c r="E227" s="138" t="e">
        <f>IF(Outline!$C$14&gt;0,Gradesheet!#REF!,Gradesheet!#REF!)</f>
        <v>#REF!</v>
      </c>
      <c r="F227" s="138" t="e">
        <f>IF(Outline!$C$14&gt;0,Gradesheet!#REF!,"NA")</f>
        <v>#REF!</v>
      </c>
      <c r="G227" s="138" t="e">
        <f>IF(Outline!$C$14&gt;0,Gradesheet!#REF!,Gradesheet!#REF!)</f>
        <v>#REF!</v>
      </c>
      <c r="H227" s="139" t="e">
        <f t="shared" si="4"/>
        <v>#REF!</v>
      </c>
    </row>
    <row r="228" spans="2:8" hidden="1" x14ac:dyDescent="0.25">
      <c r="B228" s="90" t="e">
        <f>Gradesheet!#REF!</f>
        <v>#REF!</v>
      </c>
      <c r="C228" s="91" t="e">
        <f>(Gradesheet!#REF!)</f>
        <v>#REF!</v>
      </c>
      <c r="D228" s="92" t="e">
        <f>IF(Outline!$C$14&gt;0,Gradesheet!#REF!,Gradesheet!#REF!)</f>
        <v>#REF!</v>
      </c>
      <c r="E228" s="138" t="e">
        <f>IF(Outline!$C$14&gt;0,Gradesheet!#REF!,Gradesheet!#REF!)</f>
        <v>#REF!</v>
      </c>
      <c r="F228" s="138" t="e">
        <f>IF(Outline!$C$14&gt;0,Gradesheet!#REF!,"NA")</f>
        <v>#REF!</v>
      </c>
      <c r="G228" s="138" t="e">
        <f>IF(Outline!$C$14&gt;0,Gradesheet!#REF!,Gradesheet!#REF!)</f>
        <v>#REF!</v>
      </c>
      <c r="H228" s="139" t="e">
        <f t="shared" si="4"/>
        <v>#REF!</v>
      </c>
    </row>
    <row r="229" spans="2:8" hidden="1" x14ac:dyDescent="0.25">
      <c r="B229" s="90" t="e">
        <f>Gradesheet!#REF!</f>
        <v>#REF!</v>
      </c>
      <c r="C229" s="91" t="e">
        <f>(Gradesheet!#REF!)</f>
        <v>#REF!</v>
      </c>
      <c r="D229" s="92" t="e">
        <f>IF(Outline!$C$14&gt;0,Gradesheet!#REF!,Gradesheet!#REF!)</f>
        <v>#REF!</v>
      </c>
      <c r="E229" s="138" t="e">
        <f>IF(Outline!$C$14&gt;0,Gradesheet!#REF!,Gradesheet!#REF!)</f>
        <v>#REF!</v>
      </c>
      <c r="F229" s="138" t="e">
        <f>IF(Outline!$C$14&gt;0,Gradesheet!#REF!,"NA")</f>
        <v>#REF!</v>
      </c>
      <c r="G229" s="138" t="e">
        <f>IF(Outline!$C$14&gt;0,Gradesheet!#REF!,Gradesheet!#REF!)</f>
        <v>#REF!</v>
      </c>
      <c r="H229" s="139" t="e">
        <f t="shared" si="4"/>
        <v>#REF!</v>
      </c>
    </row>
    <row r="230" spans="2:8" hidden="1" x14ac:dyDescent="0.25">
      <c r="B230" s="90" t="e">
        <f>Gradesheet!#REF!</f>
        <v>#REF!</v>
      </c>
      <c r="C230" s="91" t="e">
        <f>(Gradesheet!#REF!)</f>
        <v>#REF!</v>
      </c>
      <c r="D230" s="92" t="e">
        <f>IF(Outline!$C$14&gt;0,Gradesheet!#REF!,Gradesheet!#REF!)</f>
        <v>#REF!</v>
      </c>
      <c r="E230" s="138" t="e">
        <f>IF(Outline!$C$14&gt;0,Gradesheet!#REF!,Gradesheet!#REF!)</f>
        <v>#REF!</v>
      </c>
      <c r="F230" s="138" t="e">
        <f>IF(Outline!$C$14&gt;0,Gradesheet!#REF!,"NA")</f>
        <v>#REF!</v>
      </c>
      <c r="G230" s="138" t="e">
        <f>IF(Outline!$C$14&gt;0,Gradesheet!#REF!,Gradesheet!#REF!)</f>
        <v>#REF!</v>
      </c>
      <c r="H230" s="139" t="e">
        <f t="shared" si="4"/>
        <v>#REF!</v>
      </c>
    </row>
    <row r="231" spans="2:8" hidden="1" x14ac:dyDescent="0.25">
      <c r="B231" s="90" t="e">
        <f>Gradesheet!#REF!</f>
        <v>#REF!</v>
      </c>
      <c r="C231" s="91" t="e">
        <f>(Gradesheet!#REF!)</f>
        <v>#REF!</v>
      </c>
      <c r="D231" s="92" t="e">
        <f>IF(Outline!$C$14&gt;0,Gradesheet!#REF!,Gradesheet!#REF!)</f>
        <v>#REF!</v>
      </c>
      <c r="E231" s="138" t="e">
        <f>IF(Outline!$C$14&gt;0,Gradesheet!#REF!,Gradesheet!#REF!)</f>
        <v>#REF!</v>
      </c>
      <c r="F231" s="138" t="e">
        <f>IF(Outline!$C$14&gt;0,Gradesheet!#REF!,"NA")</f>
        <v>#REF!</v>
      </c>
      <c r="G231" s="138" t="e">
        <f>IF(Outline!$C$14&gt;0,Gradesheet!#REF!,Gradesheet!#REF!)</f>
        <v>#REF!</v>
      </c>
      <c r="H231" s="139" t="e">
        <f t="shared" si="4"/>
        <v>#REF!</v>
      </c>
    </row>
    <row r="232" spans="2:8" hidden="1" x14ac:dyDescent="0.25">
      <c r="B232" s="90" t="e">
        <f>Gradesheet!#REF!</f>
        <v>#REF!</v>
      </c>
      <c r="C232" s="91" t="e">
        <f>(Gradesheet!#REF!)</f>
        <v>#REF!</v>
      </c>
      <c r="D232" s="92" t="e">
        <f>IF(Outline!$C$14&gt;0,Gradesheet!#REF!,Gradesheet!#REF!)</f>
        <v>#REF!</v>
      </c>
      <c r="E232" s="138" t="e">
        <f>IF(Outline!$C$14&gt;0,Gradesheet!#REF!,Gradesheet!#REF!)</f>
        <v>#REF!</v>
      </c>
      <c r="F232" s="138" t="e">
        <f>IF(Outline!$C$14&gt;0,Gradesheet!#REF!,"NA")</f>
        <v>#REF!</v>
      </c>
      <c r="G232" s="138" t="e">
        <f>IF(Outline!$C$14&gt;0,Gradesheet!#REF!,Gradesheet!#REF!)</f>
        <v>#REF!</v>
      </c>
      <c r="H232" s="139" t="e">
        <f t="shared" si="4"/>
        <v>#REF!</v>
      </c>
    </row>
    <row r="233" spans="2:8" hidden="1" x14ac:dyDescent="0.25">
      <c r="B233" s="90" t="e">
        <f>Gradesheet!#REF!</f>
        <v>#REF!</v>
      </c>
      <c r="C233" s="91" t="e">
        <f>(Gradesheet!#REF!)</f>
        <v>#REF!</v>
      </c>
      <c r="D233" s="92" t="e">
        <f>IF(Outline!$C$14&gt;0,Gradesheet!#REF!,Gradesheet!#REF!)</f>
        <v>#REF!</v>
      </c>
      <c r="E233" s="138" t="e">
        <f>IF(Outline!$C$14&gt;0,Gradesheet!#REF!,Gradesheet!#REF!)</f>
        <v>#REF!</v>
      </c>
      <c r="F233" s="138" t="e">
        <f>IF(Outline!$C$14&gt;0,Gradesheet!#REF!,"NA")</f>
        <v>#REF!</v>
      </c>
      <c r="G233" s="138" t="e">
        <f>IF(Outline!$C$14&gt;0,Gradesheet!#REF!,Gradesheet!#REF!)</f>
        <v>#REF!</v>
      </c>
      <c r="H233" s="139" t="e">
        <f t="shared" si="4"/>
        <v>#REF!</v>
      </c>
    </row>
    <row r="234" spans="2:8" hidden="1" x14ac:dyDescent="0.25">
      <c r="B234" s="90" t="e">
        <f>Gradesheet!#REF!</f>
        <v>#REF!</v>
      </c>
      <c r="C234" s="91" t="e">
        <f>(Gradesheet!#REF!)</f>
        <v>#REF!</v>
      </c>
      <c r="D234" s="92" t="e">
        <f>IF(Outline!$C$14&gt;0,Gradesheet!#REF!,Gradesheet!#REF!)</f>
        <v>#REF!</v>
      </c>
      <c r="E234" s="138" t="e">
        <f>IF(Outline!$C$14&gt;0,Gradesheet!#REF!,Gradesheet!#REF!)</f>
        <v>#REF!</v>
      </c>
      <c r="F234" s="138" t="e">
        <f>IF(Outline!$C$14&gt;0,Gradesheet!#REF!,"NA")</f>
        <v>#REF!</v>
      </c>
      <c r="G234" s="138" t="e">
        <f>IF(Outline!$C$14&gt;0,Gradesheet!#REF!,Gradesheet!#REF!)</f>
        <v>#REF!</v>
      </c>
      <c r="H234" s="139" t="e">
        <f t="shared" si="4"/>
        <v>#REF!</v>
      </c>
    </row>
    <row r="235" spans="2:8" hidden="1" x14ac:dyDescent="0.25">
      <c r="B235" s="90" t="e">
        <f>Gradesheet!#REF!</f>
        <v>#REF!</v>
      </c>
      <c r="C235" s="91" t="e">
        <f>(Gradesheet!#REF!)</f>
        <v>#REF!</v>
      </c>
      <c r="D235" s="92" t="e">
        <f>IF(Outline!$C$14&gt;0,Gradesheet!#REF!,Gradesheet!#REF!)</f>
        <v>#REF!</v>
      </c>
      <c r="E235" s="138" t="e">
        <f>IF(Outline!$C$14&gt;0,Gradesheet!#REF!,Gradesheet!#REF!)</f>
        <v>#REF!</v>
      </c>
      <c r="F235" s="138" t="e">
        <f>IF(Outline!$C$14&gt;0,Gradesheet!#REF!,"NA")</f>
        <v>#REF!</v>
      </c>
      <c r="G235" s="138" t="e">
        <f>IF(Outline!$C$14&gt;0,Gradesheet!#REF!,Gradesheet!#REF!)</f>
        <v>#REF!</v>
      </c>
      <c r="H235" s="139" t="e">
        <f t="shared" si="4"/>
        <v>#REF!</v>
      </c>
    </row>
    <row r="236" spans="2:8" hidden="1" x14ac:dyDescent="0.25">
      <c r="B236" s="90" t="e">
        <f>Gradesheet!#REF!</f>
        <v>#REF!</v>
      </c>
      <c r="C236" s="91" t="e">
        <f>(Gradesheet!#REF!)</f>
        <v>#REF!</v>
      </c>
      <c r="D236" s="92" t="e">
        <f>IF(Outline!$C$14&gt;0,Gradesheet!#REF!,Gradesheet!#REF!)</f>
        <v>#REF!</v>
      </c>
      <c r="E236" s="138" t="e">
        <f>IF(Outline!$C$14&gt;0,Gradesheet!#REF!,Gradesheet!#REF!)</f>
        <v>#REF!</v>
      </c>
      <c r="F236" s="138" t="e">
        <f>IF(Outline!$C$14&gt;0,Gradesheet!#REF!,"NA")</f>
        <v>#REF!</v>
      </c>
      <c r="G236" s="138" t="e">
        <f>IF(Outline!$C$14&gt;0,Gradesheet!#REF!,Gradesheet!#REF!)</f>
        <v>#REF!</v>
      </c>
      <c r="H236" s="139" t="e">
        <f t="shared" si="4"/>
        <v>#REF!</v>
      </c>
    </row>
    <row r="237" spans="2:8" hidden="1" x14ac:dyDescent="0.25">
      <c r="B237" s="90" t="e">
        <f>Gradesheet!#REF!</f>
        <v>#REF!</v>
      </c>
      <c r="C237" s="91" t="e">
        <f>(Gradesheet!#REF!)</f>
        <v>#REF!</v>
      </c>
      <c r="D237" s="92" t="e">
        <f>IF(Outline!$C$14&gt;0,Gradesheet!#REF!,Gradesheet!#REF!)</f>
        <v>#REF!</v>
      </c>
      <c r="E237" s="138" t="e">
        <f>IF(Outline!$C$14&gt;0,Gradesheet!#REF!,Gradesheet!#REF!)</f>
        <v>#REF!</v>
      </c>
      <c r="F237" s="138" t="e">
        <f>IF(Outline!$C$14&gt;0,Gradesheet!#REF!,"NA")</f>
        <v>#REF!</v>
      </c>
      <c r="G237" s="138" t="e">
        <f>IF(Outline!$C$14&gt;0,Gradesheet!#REF!,Gradesheet!#REF!)</f>
        <v>#REF!</v>
      </c>
      <c r="H237" s="139" t="e">
        <f t="shared" si="4"/>
        <v>#REF!</v>
      </c>
    </row>
    <row r="238" spans="2:8" hidden="1" x14ac:dyDescent="0.25">
      <c r="B238" s="90" t="e">
        <f>Gradesheet!#REF!</f>
        <v>#REF!</v>
      </c>
      <c r="C238" s="91" t="e">
        <f>(Gradesheet!#REF!)</f>
        <v>#REF!</v>
      </c>
      <c r="D238" s="92" t="e">
        <f>IF(Outline!$C$14&gt;0,Gradesheet!#REF!,Gradesheet!#REF!)</f>
        <v>#REF!</v>
      </c>
      <c r="E238" s="138" t="e">
        <f>IF(Outline!$C$14&gt;0,Gradesheet!#REF!,Gradesheet!#REF!)</f>
        <v>#REF!</v>
      </c>
      <c r="F238" s="138" t="e">
        <f>IF(Outline!$C$14&gt;0,Gradesheet!#REF!,"NA")</f>
        <v>#REF!</v>
      </c>
      <c r="G238" s="138" t="e">
        <f>IF(Outline!$C$14&gt;0,Gradesheet!#REF!,Gradesheet!#REF!)</f>
        <v>#REF!</v>
      </c>
      <c r="H238" s="139" t="e">
        <f t="shared" si="4"/>
        <v>#REF!</v>
      </c>
    </row>
    <row r="239" spans="2:8" hidden="1" x14ac:dyDescent="0.25">
      <c r="B239" s="90" t="e">
        <f>Gradesheet!#REF!</f>
        <v>#REF!</v>
      </c>
      <c r="C239" s="91" t="e">
        <f>(Gradesheet!#REF!)</f>
        <v>#REF!</v>
      </c>
      <c r="D239" s="92" t="e">
        <f>IF(Outline!$C$14&gt;0,Gradesheet!#REF!,Gradesheet!#REF!)</f>
        <v>#REF!</v>
      </c>
      <c r="E239" s="138" t="e">
        <f>IF(Outline!$C$14&gt;0,Gradesheet!#REF!,Gradesheet!#REF!)</f>
        <v>#REF!</v>
      </c>
      <c r="F239" s="138" t="e">
        <f>IF(Outline!$C$14&gt;0,Gradesheet!#REF!,"NA")</f>
        <v>#REF!</v>
      </c>
      <c r="G239" s="138" t="e">
        <f>IF(Outline!$C$14&gt;0,Gradesheet!#REF!,Gradesheet!#REF!)</f>
        <v>#REF!</v>
      </c>
      <c r="H239" s="139" t="e">
        <f t="shared" si="4"/>
        <v>#REF!</v>
      </c>
    </row>
    <row r="240" spans="2:8" hidden="1" x14ac:dyDescent="0.25">
      <c r="B240" s="90" t="e">
        <f>Gradesheet!#REF!</f>
        <v>#REF!</v>
      </c>
      <c r="C240" s="91" t="e">
        <f>(Gradesheet!#REF!)</f>
        <v>#REF!</v>
      </c>
      <c r="D240" s="92" t="e">
        <f>IF(Outline!$C$14&gt;0,Gradesheet!#REF!,Gradesheet!#REF!)</f>
        <v>#REF!</v>
      </c>
      <c r="E240" s="138" t="e">
        <f>IF(Outline!$C$14&gt;0,Gradesheet!#REF!,Gradesheet!#REF!)</f>
        <v>#REF!</v>
      </c>
      <c r="F240" s="138" t="e">
        <f>IF(Outline!$C$14&gt;0,Gradesheet!#REF!,"NA")</f>
        <v>#REF!</v>
      </c>
      <c r="G240" s="138" t="e">
        <f>IF(Outline!$C$14&gt;0,Gradesheet!#REF!,Gradesheet!#REF!)</f>
        <v>#REF!</v>
      </c>
      <c r="H240" s="139" t="e">
        <f t="shared" si="4"/>
        <v>#REF!</v>
      </c>
    </row>
    <row r="241" spans="2:8" hidden="1" x14ac:dyDescent="0.25">
      <c r="B241" s="90" t="e">
        <f>Gradesheet!#REF!</f>
        <v>#REF!</v>
      </c>
      <c r="C241" s="91" t="e">
        <f>(Gradesheet!#REF!)</f>
        <v>#REF!</v>
      </c>
      <c r="D241" s="92" t="e">
        <f>IF(Outline!$C$14&gt;0,Gradesheet!#REF!,Gradesheet!#REF!)</f>
        <v>#REF!</v>
      </c>
      <c r="E241" s="138" t="e">
        <f>IF(Outline!$C$14&gt;0,Gradesheet!#REF!,Gradesheet!#REF!)</f>
        <v>#REF!</v>
      </c>
      <c r="F241" s="138" t="e">
        <f>IF(Outline!$C$14&gt;0,Gradesheet!#REF!,"NA")</f>
        <v>#REF!</v>
      </c>
      <c r="G241" s="138" t="e">
        <f>IF(Outline!$C$14&gt;0,Gradesheet!#REF!,Gradesheet!#REF!)</f>
        <v>#REF!</v>
      </c>
      <c r="H241" s="139" t="e">
        <f t="shared" si="4"/>
        <v>#REF!</v>
      </c>
    </row>
    <row r="242" spans="2:8" hidden="1" x14ac:dyDescent="0.25">
      <c r="B242" s="90" t="e">
        <f>Gradesheet!#REF!</f>
        <v>#REF!</v>
      </c>
      <c r="C242" s="91" t="e">
        <f>(Gradesheet!#REF!)</f>
        <v>#REF!</v>
      </c>
      <c r="D242" s="92" t="e">
        <f>IF(Outline!$C$14&gt;0,Gradesheet!#REF!,Gradesheet!#REF!)</f>
        <v>#REF!</v>
      </c>
      <c r="E242" s="138" t="e">
        <f>IF(Outline!$C$14&gt;0,Gradesheet!#REF!,Gradesheet!#REF!)</f>
        <v>#REF!</v>
      </c>
      <c r="F242" s="138" t="e">
        <f>IF(Outline!$C$14&gt;0,Gradesheet!#REF!,"NA")</f>
        <v>#REF!</v>
      </c>
      <c r="G242" s="138" t="e">
        <f>IF(Outline!$C$14&gt;0,Gradesheet!#REF!,Gradesheet!#REF!)</f>
        <v>#REF!</v>
      </c>
      <c r="H242" s="139" t="e">
        <f t="shared" si="4"/>
        <v>#REF!</v>
      </c>
    </row>
    <row r="243" spans="2:8" hidden="1" x14ac:dyDescent="0.25">
      <c r="B243" s="90" t="e">
        <f>Gradesheet!#REF!</f>
        <v>#REF!</v>
      </c>
      <c r="C243" s="91" t="e">
        <f>(Gradesheet!#REF!)</f>
        <v>#REF!</v>
      </c>
      <c r="D243" s="92" t="e">
        <f>IF(Outline!$C$14&gt;0,Gradesheet!#REF!,Gradesheet!#REF!)</f>
        <v>#REF!</v>
      </c>
      <c r="E243" s="138" t="e">
        <f>IF(Outline!$C$14&gt;0,Gradesheet!#REF!,Gradesheet!#REF!)</f>
        <v>#REF!</v>
      </c>
      <c r="F243" s="138" t="e">
        <f>IF(Outline!$C$14&gt;0,Gradesheet!#REF!,"NA")</f>
        <v>#REF!</v>
      </c>
      <c r="G243" s="138" t="e">
        <f>IF(Outline!$C$14&gt;0,Gradesheet!#REF!,Gradesheet!#REF!)</f>
        <v>#REF!</v>
      </c>
      <c r="H243" s="139" t="e">
        <f t="shared" si="4"/>
        <v>#REF!</v>
      </c>
    </row>
    <row r="244" spans="2:8" hidden="1" x14ac:dyDescent="0.25">
      <c r="B244" s="90" t="e">
        <f>Gradesheet!#REF!</f>
        <v>#REF!</v>
      </c>
      <c r="C244" s="91" t="e">
        <f>(Gradesheet!#REF!)</f>
        <v>#REF!</v>
      </c>
      <c r="D244" s="92" t="e">
        <f>IF(Outline!$C$14&gt;0,Gradesheet!#REF!,Gradesheet!#REF!)</f>
        <v>#REF!</v>
      </c>
      <c r="E244" s="138" t="e">
        <f>IF(Outline!$C$14&gt;0,Gradesheet!#REF!,Gradesheet!#REF!)</f>
        <v>#REF!</v>
      </c>
      <c r="F244" s="138" t="e">
        <f>IF(Outline!$C$14&gt;0,Gradesheet!#REF!,"NA")</f>
        <v>#REF!</v>
      </c>
      <c r="G244" s="138" t="e">
        <f>IF(Outline!$C$14&gt;0,Gradesheet!#REF!,Gradesheet!#REF!)</f>
        <v>#REF!</v>
      </c>
      <c r="H244" s="139" t="e">
        <f t="shared" si="4"/>
        <v>#REF!</v>
      </c>
    </row>
    <row r="245" spans="2:8" hidden="1" x14ac:dyDescent="0.25">
      <c r="B245" s="90" t="e">
        <f>Gradesheet!#REF!</f>
        <v>#REF!</v>
      </c>
      <c r="C245" s="91" t="e">
        <f>(Gradesheet!#REF!)</f>
        <v>#REF!</v>
      </c>
      <c r="D245" s="92" t="e">
        <f>IF(Outline!$C$14&gt;0,Gradesheet!#REF!,Gradesheet!#REF!)</f>
        <v>#REF!</v>
      </c>
      <c r="E245" s="138" t="e">
        <f>IF(Outline!$C$14&gt;0,Gradesheet!#REF!,Gradesheet!#REF!)</f>
        <v>#REF!</v>
      </c>
      <c r="F245" s="138" t="e">
        <f>IF(Outline!$C$14&gt;0,Gradesheet!#REF!,"NA")</f>
        <v>#REF!</v>
      </c>
      <c r="G245" s="138" t="e">
        <f>IF(Outline!$C$14&gt;0,Gradesheet!#REF!,Gradesheet!#REF!)</f>
        <v>#REF!</v>
      </c>
      <c r="H245" s="139" t="e">
        <f t="shared" si="4"/>
        <v>#REF!</v>
      </c>
    </row>
    <row r="246" spans="2:8" hidden="1" x14ac:dyDescent="0.25">
      <c r="B246" s="90" t="e">
        <f>Gradesheet!#REF!</f>
        <v>#REF!</v>
      </c>
      <c r="C246" s="91" t="e">
        <f>(Gradesheet!#REF!)</f>
        <v>#REF!</v>
      </c>
      <c r="D246" s="92" t="e">
        <f>IF(Outline!$C$14&gt;0,Gradesheet!#REF!,Gradesheet!#REF!)</f>
        <v>#REF!</v>
      </c>
      <c r="E246" s="138" t="e">
        <f>IF(Outline!$C$14&gt;0,Gradesheet!#REF!,Gradesheet!#REF!)</f>
        <v>#REF!</v>
      </c>
      <c r="F246" s="138" t="e">
        <f>IF(Outline!$C$14&gt;0,Gradesheet!#REF!,"NA")</f>
        <v>#REF!</v>
      </c>
      <c r="G246" s="138" t="e">
        <f>IF(Outline!$C$14&gt;0,Gradesheet!#REF!,Gradesheet!#REF!)</f>
        <v>#REF!</v>
      </c>
      <c r="H246" s="139" t="e">
        <f t="shared" si="4"/>
        <v>#REF!</v>
      </c>
    </row>
    <row r="247" spans="2:8" hidden="1" x14ac:dyDescent="0.25">
      <c r="B247" s="90" t="e">
        <f>Gradesheet!#REF!</f>
        <v>#REF!</v>
      </c>
      <c r="C247" s="91" t="e">
        <f>(Gradesheet!#REF!)</f>
        <v>#REF!</v>
      </c>
      <c r="D247" s="92" t="e">
        <f>IF(Outline!$C$14&gt;0,Gradesheet!#REF!,Gradesheet!#REF!)</f>
        <v>#REF!</v>
      </c>
      <c r="E247" s="138" t="e">
        <f>IF(Outline!$C$14&gt;0,Gradesheet!#REF!,Gradesheet!#REF!)</f>
        <v>#REF!</v>
      </c>
      <c r="F247" s="138" t="e">
        <f>IF(Outline!$C$14&gt;0,Gradesheet!#REF!,"NA")</f>
        <v>#REF!</v>
      </c>
      <c r="G247" s="138" t="e">
        <f>IF(Outline!$C$14&gt;0,Gradesheet!#REF!,Gradesheet!#REF!)</f>
        <v>#REF!</v>
      </c>
      <c r="H247" s="139" t="e">
        <f t="shared" si="4"/>
        <v>#REF!</v>
      </c>
    </row>
    <row r="248" spans="2:8" hidden="1" x14ac:dyDescent="0.25">
      <c r="B248" s="90" t="e">
        <f>Gradesheet!#REF!</f>
        <v>#REF!</v>
      </c>
      <c r="C248" s="91" t="e">
        <f>(Gradesheet!#REF!)</f>
        <v>#REF!</v>
      </c>
      <c r="D248" s="92" t="e">
        <f>IF(Outline!$C$14&gt;0,Gradesheet!#REF!,Gradesheet!#REF!)</f>
        <v>#REF!</v>
      </c>
      <c r="E248" s="138" t="e">
        <f>IF(Outline!$C$14&gt;0,Gradesheet!#REF!,Gradesheet!#REF!)</f>
        <v>#REF!</v>
      </c>
      <c r="F248" s="138" t="e">
        <f>IF(Outline!$C$14&gt;0,Gradesheet!#REF!,"NA")</f>
        <v>#REF!</v>
      </c>
      <c r="G248" s="138" t="e">
        <f>IF(Outline!$C$14&gt;0,Gradesheet!#REF!,Gradesheet!#REF!)</f>
        <v>#REF!</v>
      </c>
      <c r="H248" s="139" t="e">
        <f t="shared" si="4"/>
        <v>#REF!</v>
      </c>
    </row>
    <row r="249" spans="2:8" hidden="1" x14ac:dyDescent="0.25">
      <c r="B249" s="90" t="e">
        <f>Gradesheet!#REF!</f>
        <v>#REF!</v>
      </c>
      <c r="C249" s="91" t="e">
        <f>(Gradesheet!#REF!)</f>
        <v>#REF!</v>
      </c>
      <c r="D249" s="92" t="e">
        <f>IF(Outline!$C$14&gt;0,Gradesheet!#REF!,Gradesheet!#REF!)</f>
        <v>#REF!</v>
      </c>
      <c r="E249" s="138" t="e">
        <f>IF(Outline!$C$14&gt;0,Gradesheet!#REF!,Gradesheet!#REF!)</f>
        <v>#REF!</v>
      </c>
      <c r="F249" s="138" t="e">
        <f>IF(Outline!$C$14&gt;0,Gradesheet!#REF!,"NA")</f>
        <v>#REF!</v>
      </c>
      <c r="G249" s="138" t="e">
        <f>IF(Outline!$C$14&gt;0,Gradesheet!#REF!,Gradesheet!#REF!)</f>
        <v>#REF!</v>
      </c>
      <c r="H249" s="139" t="e">
        <f t="shared" si="4"/>
        <v>#REF!</v>
      </c>
    </row>
    <row r="250" spans="2:8" hidden="1" x14ac:dyDescent="0.25">
      <c r="B250" s="90" t="e">
        <f>Gradesheet!#REF!</f>
        <v>#REF!</v>
      </c>
      <c r="C250" s="91" t="e">
        <f>(Gradesheet!#REF!)</f>
        <v>#REF!</v>
      </c>
      <c r="D250" s="92" t="e">
        <f>IF(Outline!$C$14&gt;0,Gradesheet!#REF!,Gradesheet!#REF!)</f>
        <v>#REF!</v>
      </c>
      <c r="E250" s="138" t="e">
        <f>IF(Outline!$C$14&gt;0,Gradesheet!#REF!,Gradesheet!#REF!)</f>
        <v>#REF!</v>
      </c>
      <c r="F250" s="138" t="e">
        <f>IF(Outline!$C$14&gt;0,Gradesheet!#REF!,"NA")</f>
        <v>#REF!</v>
      </c>
      <c r="G250" s="138" t="e">
        <f>IF(Outline!$C$14&gt;0,Gradesheet!#REF!,Gradesheet!#REF!)</f>
        <v>#REF!</v>
      </c>
      <c r="H250" s="139" t="e">
        <f t="shared" si="4"/>
        <v>#REF!</v>
      </c>
    </row>
    <row r="251" spans="2:8" hidden="1" x14ac:dyDescent="0.25">
      <c r="B251" s="90" t="e">
        <f>Gradesheet!#REF!</f>
        <v>#REF!</v>
      </c>
      <c r="C251" s="91" t="e">
        <f>(Gradesheet!#REF!)</f>
        <v>#REF!</v>
      </c>
      <c r="D251" s="92" t="e">
        <f>IF(Outline!$C$14&gt;0,Gradesheet!#REF!,Gradesheet!#REF!)</f>
        <v>#REF!</v>
      </c>
      <c r="E251" s="138" t="e">
        <f>IF(Outline!$C$14&gt;0,Gradesheet!#REF!,Gradesheet!#REF!)</f>
        <v>#REF!</v>
      </c>
      <c r="F251" s="138" t="e">
        <f>IF(Outline!$C$14&gt;0,Gradesheet!#REF!,"NA")</f>
        <v>#REF!</v>
      </c>
      <c r="G251" s="138" t="e">
        <f>IF(Outline!$C$14&gt;0,Gradesheet!#REF!,Gradesheet!#REF!)</f>
        <v>#REF!</v>
      </c>
      <c r="H251" s="139" t="e">
        <f t="shared" si="4"/>
        <v>#REF!</v>
      </c>
    </row>
    <row r="252" spans="2:8" hidden="1" x14ac:dyDescent="0.25">
      <c r="B252" s="90" t="e">
        <f>Gradesheet!#REF!</f>
        <v>#REF!</v>
      </c>
      <c r="C252" s="91" t="e">
        <f>(Gradesheet!#REF!)</f>
        <v>#REF!</v>
      </c>
      <c r="D252" s="92" t="e">
        <f>IF(Outline!$C$14&gt;0,Gradesheet!#REF!,Gradesheet!#REF!)</f>
        <v>#REF!</v>
      </c>
      <c r="E252" s="138" t="e">
        <f>IF(Outline!$C$14&gt;0,Gradesheet!#REF!,Gradesheet!#REF!)</f>
        <v>#REF!</v>
      </c>
      <c r="F252" s="138" t="e">
        <f>IF(Outline!$C$14&gt;0,Gradesheet!#REF!,"NA")</f>
        <v>#REF!</v>
      </c>
      <c r="G252" s="138" t="e">
        <f>IF(Outline!$C$14&gt;0,Gradesheet!#REF!,Gradesheet!#REF!)</f>
        <v>#REF!</v>
      </c>
      <c r="H252" s="139" t="e">
        <f t="shared" si="4"/>
        <v>#REF!</v>
      </c>
    </row>
    <row r="253" spans="2:8" hidden="1" x14ac:dyDescent="0.25">
      <c r="B253" s="90" t="e">
        <f>Gradesheet!#REF!</f>
        <v>#REF!</v>
      </c>
      <c r="C253" s="91" t="e">
        <f>(Gradesheet!#REF!)</f>
        <v>#REF!</v>
      </c>
      <c r="D253" s="92" t="e">
        <f>IF(Outline!$C$14&gt;0,Gradesheet!#REF!,Gradesheet!#REF!)</f>
        <v>#REF!</v>
      </c>
      <c r="E253" s="138" t="e">
        <f>IF(Outline!$C$14&gt;0,Gradesheet!#REF!,Gradesheet!#REF!)</f>
        <v>#REF!</v>
      </c>
      <c r="F253" s="138" t="e">
        <f>IF(Outline!$C$14&gt;0,Gradesheet!#REF!,"NA")</f>
        <v>#REF!</v>
      </c>
      <c r="G253" s="138" t="e">
        <f>IF(Outline!$C$14&gt;0,Gradesheet!#REF!,Gradesheet!#REF!)</f>
        <v>#REF!</v>
      </c>
      <c r="H253" s="139" t="e">
        <f t="shared" si="4"/>
        <v>#REF!</v>
      </c>
    </row>
    <row r="254" spans="2:8" hidden="1" x14ac:dyDescent="0.25">
      <c r="B254" s="90" t="e">
        <f>Gradesheet!#REF!</f>
        <v>#REF!</v>
      </c>
      <c r="C254" s="91" t="e">
        <f>(Gradesheet!#REF!)</f>
        <v>#REF!</v>
      </c>
      <c r="D254" s="92" t="e">
        <f>IF(Outline!$C$14&gt;0,Gradesheet!#REF!,Gradesheet!#REF!)</f>
        <v>#REF!</v>
      </c>
      <c r="E254" s="138" t="e">
        <f>IF(Outline!$C$14&gt;0,Gradesheet!#REF!,Gradesheet!#REF!)</f>
        <v>#REF!</v>
      </c>
      <c r="F254" s="138" t="e">
        <f>IF(Outline!$C$14&gt;0,Gradesheet!#REF!,"NA")</f>
        <v>#REF!</v>
      </c>
      <c r="G254" s="138" t="e">
        <f>IF(Outline!$C$14&gt;0,Gradesheet!#REF!,Gradesheet!#REF!)</f>
        <v>#REF!</v>
      </c>
      <c r="H254" s="139" t="e">
        <f t="shared" si="4"/>
        <v>#REF!</v>
      </c>
    </row>
    <row r="255" spans="2:8" hidden="1" x14ac:dyDescent="0.25">
      <c r="B255" s="90" t="e">
        <f>Gradesheet!#REF!</f>
        <v>#REF!</v>
      </c>
      <c r="C255" s="91" t="e">
        <f>(Gradesheet!#REF!)</f>
        <v>#REF!</v>
      </c>
      <c r="D255" s="92" t="e">
        <f>IF(Outline!$C$14&gt;0,Gradesheet!#REF!,Gradesheet!#REF!)</f>
        <v>#REF!</v>
      </c>
      <c r="E255" s="138" t="e">
        <f>IF(Outline!$C$14&gt;0,Gradesheet!#REF!,Gradesheet!#REF!)</f>
        <v>#REF!</v>
      </c>
      <c r="F255" s="138" t="e">
        <f>IF(Outline!$C$14&gt;0,Gradesheet!#REF!,"NA")</f>
        <v>#REF!</v>
      </c>
      <c r="G255" s="138" t="e">
        <f>IF(Outline!$C$14&gt;0,Gradesheet!#REF!,Gradesheet!#REF!)</f>
        <v>#REF!</v>
      </c>
      <c r="H255" s="139" t="e">
        <f t="shared" si="4"/>
        <v>#REF!</v>
      </c>
    </row>
    <row r="256" spans="2:8" hidden="1" x14ac:dyDescent="0.25">
      <c r="B256" s="90" t="e">
        <f>Gradesheet!#REF!</f>
        <v>#REF!</v>
      </c>
      <c r="C256" s="91" t="e">
        <f>(Gradesheet!#REF!)</f>
        <v>#REF!</v>
      </c>
      <c r="D256" s="92" t="e">
        <f>IF(Outline!$C$14&gt;0,Gradesheet!#REF!,Gradesheet!#REF!)</f>
        <v>#REF!</v>
      </c>
      <c r="E256" s="138" t="e">
        <f>IF(Outline!$C$14&gt;0,Gradesheet!#REF!,Gradesheet!#REF!)</f>
        <v>#REF!</v>
      </c>
      <c r="F256" s="138" t="e">
        <f>IF(Outline!$C$14&gt;0,Gradesheet!#REF!,"NA")</f>
        <v>#REF!</v>
      </c>
      <c r="G256" s="138" t="e">
        <f>IF(Outline!$C$14&gt;0,Gradesheet!#REF!,Gradesheet!#REF!)</f>
        <v>#REF!</v>
      </c>
      <c r="H256" s="139" t="e">
        <f t="shared" si="4"/>
        <v>#REF!</v>
      </c>
    </row>
    <row r="257" spans="2:8" hidden="1" x14ac:dyDescent="0.25">
      <c r="B257" s="90" t="e">
        <f>Gradesheet!#REF!</f>
        <v>#REF!</v>
      </c>
      <c r="C257" s="91" t="e">
        <f>(Gradesheet!#REF!)</f>
        <v>#REF!</v>
      </c>
      <c r="D257" s="92" t="e">
        <f>IF(Outline!$C$14&gt;0,Gradesheet!#REF!,Gradesheet!#REF!)</f>
        <v>#REF!</v>
      </c>
      <c r="E257" s="138" t="e">
        <f>IF(Outline!$C$14&gt;0,Gradesheet!#REF!,Gradesheet!#REF!)</f>
        <v>#REF!</v>
      </c>
      <c r="F257" s="138" t="e">
        <f>IF(Outline!$C$14&gt;0,Gradesheet!#REF!,"NA")</f>
        <v>#REF!</v>
      </c>
      <c r="G257" s="138" t="e">
        <f>IF(Outline!$C$14&gt;0,Gradesheet!#REF!,Gradesheet!#REF!)</f>
        <v>#REF!</v>
      </c>
      <c r="H257" s="139" t="e">
        <f t="shared" si="4"/>
        <v>#REF!</v>
      </c>
    </row>
    <row r="258" spans="2:8" hidden="1" x14ac:dyDescent="0.25">
      <c r="B258" s="90" t="e">
        <f>Gradesheet!#REF!</f>
        <v>#REF!</v>
      </c>
      <c r="C258" s="91" t="e">
        <f>(Gradesheet!#REF!)</f>
        <v>#REF!</v>
      </c>
      <c r="D258" s="92" t="e">
        <f>IF(Outline!$C$14&gt;0,Gradesheet!#REF!,Gradesheet!#REF!)</f>
        <v>#REF!</v>
      </c>
      <c r="E258" s="138" t="e">
        <f>IF(Outline!$C$14&gt;0,Gradesheet!#REF!,Gradesheet!#REF!)</f>
        <v>#REF!</v>
      </c>
      <c r="F258" s="138" t="e">
        <f>IF(Outline!$C$14&gt;0,Gradesheet!#REF!,"NA")</f>
        <v>#REF!</v>
      </c>
      <c r="G258" s="138" t="e">
        <f>IF(Outline!$C$14&gt;0,Gradesheet!#REF!,Gradesheet!#REF!)</f>
        <v>#REF!</v>
      </c>
      <c r="H258" s="139" t="e">
        <f t="shared" si="4"/>
        <v>#REF!</v>
      </c>
    </row>
    <row r="259" spans="2:8" hidden="1" x14ac:dyDescent="0.25">
      <c r="B259" s="90" t="e">
        <f>Gradesheet!#REF!</f>
        <v>#REF!</v>
      </c>
      <c r="C259" s="91" t="e">
        <f>(Gradesheet!#REF!)</f>
        <v>#REF!</v>
      </c>
      <c r="D259" s="92" t="e">
        <f>IF(Outline!$C$14&gt;0,Gradesheet!#REF!,Gradesheet!#REF!)</f>
        <v>#REF!</v>
      </c>
      <c r="E259" s="138" t="e">
        <f>IF(Outline!$C$14&gt;0,Gradesheet!#REF!,Gradesheet!#REF!)</f>
        <v>#REF!</v>
      </c>
      <c r="F259" s="138" t="e">
        <f>IF(Outline!$C$14&gt;0,Gradesheet!#REF!,"NA")</f>
        <v>#REF!</v>
      </c>
      <c r="G259" s="138" t="e">
        <f>IF(Outline!$C$14&gt;0,Gradesheet!#REF!,Gradesheet!#REF!)</f>
        <v>#REF!</v>
      </c>
      <c r="H259" s="139" t="e">
        <f t="shared" si="4"/>
        <v>#REF!</v>
      </c>
    </row>
    <row r="260" spans="2:8" hidden="1" x14ac:dyDescent="0.25">
      <c r="B260" s="90" t="e">
        <f>Gradesheet!#REF!</f>
        <v>#REF!</v>
      </c>
      <c r="C260" s="91" t="e">
        <f>(Gradesheet!#REF!)</f>
        <v>#REF!</v>
      </c>
      <c r="D260" s="92" t="e">
        <f>IF(Outline!$C$14&gt;0,Gradesheet!#REF!,Gradesheet!#REF!)</f>
        <v>#REF!</v>
      </c>
      <c r="E260" s="138" t="e">
        <f>IF(Outline!$C$14&gt;0,Gradesheet!#REF!,Gradesheet!#REF!)</f>
        <v>#REF!</v>
      </c>
      <c r="F260" s="138" t="e">
        <f>IF(Outline!$C$14&gt;0,Gradesheet!#REF!,"NA")</f>
        <v>#REF!</v>
      </c>
      <c r="G260" s="138" t="e">
        <f>IF(Outline!$C$14&gt;0,Gradesheet!#REF!,Gradesheet!#REF!)</f>
        <v>#REF!</v>
      </c>
      <c r="H260" s="139" t="e">
        <f t="shared" si="4"/>
        <v>#REF!</v>
      </c>
    </row>
    <row r="261" spans="2:8" hidden="1" x14ac:dyDescent="0.25">
      <c r="B261" s="90" t="e">
        <f>Gradesheet!#REF!</f>
        <v>#REF!</v>
      </c>
      <c r="C261" s="91" t="e">
        <f>(Gradesheet!#REF!)</f>
        <v>#REF!</v>
      </c>
      <c r="D261" s="92" t="e">
        <f>IF(Outline!$C$14&gt;0,Gradesheet!#REF!,Gradesheet!#REF!)</f>
        <v>#REF!</v>
      </c>
      <c r="E261" s="138" t="e">
        <f>IF(Outline!$C$14&gt;0,Gradesheet!#REF!,Gradesheet!#REF!)</f>
        <v>#REF!</v>
      </c>
      <c r="F261" s="138" t="e">
        <f>IF(Outline!$C$14&gt;0,Gradesheet!#REF!,"NA")</f>
        <v>#REF!</v>
      </c>
      <c r="G261" s="138" t="e">
        <f>IF(Outline!$C$14&gt;0,Gradesheet!#REF!,Gradesheet!#REF!)</f>
        <v>#REF!</v>
      </c>
      <c r="H261" s="139" t="e">
        <f t="shared" si="4"/>
        <v>#REF!</v>
      </c>
    </row>
    <row r="262" spans="2:8" hidden="1" x14ac:dyDescent="0.25">
      <c r="B262" s="90" t="e">
        <f>Gradesheet!#REF!</f>
        <v>#REF!</v>
      </c>
      <c r="C262" s="91" t="e">
        <f>(Gradesheet!#REF!)</f>
        <v>#REF!</v>
      </c>
      <c r="D262" s="92" t="e">
        <f>IF(Outline!$C$14&gt;0,Gradesheet!#REF!,Gradesheet!#REF!)</f>
        <v>#REF!</v>
      </c>
      <c r="E262" s="138" t="e">
        <f>IF(Outline!$C$14&gt;0,Gradesheet!#REF!,Gradesheet!#REF!)</f>
        <v>#REF!</v>
      </c>
      <c r="F262" s="138" t="e">
        <f>IF(Outline!$C$14&gt;0,Gradesheet!#REF!,"NA")</f>
        <v>#REF!</v>
      </c>
      <c r="G262" s="138" t="e">
        <f>IF(Outline!$C$14&gt;0,Gradesheet!#REF!,Gradesheet!#REF!)</f>
        <v>#REF!</v>
      </c>
      <c r="H262" s="139" t="e">
        <f t="shared" si="4"/>
        <v>#REF!</v>
      </c>
    </row>
    <row r="263" spans="2:8" hidden="1" x14ac:dyDescent="0.25">
      <c r="B263" s="90" t="e">
        <f>Gradesheet!#REF!</f>
        <v>#REF!</v>
      </c>
      <c r="C263" s="91" t="e">
        <f>(Gradesheet!#REF!)</f>
        <v>#REF!</v>
      </c>
      <c r="D263" s="92" t="e">
        <f>IF(Outline!$C$14&gt;0,Gradesheet!#REF!,Gradesheet!#REF!)</f>
        <v>#REF!</v>
      </c>
      <c r="E263" s="138" t="e">
        <f>IF(Outline!$C$14&gt;0,Gradesheet!#REF!,Gradesheet!#REF!)</f>
        <v>#REF!</v>
      </c>
      <c r="F263" s="138" t="e">
        <f>IF(Outline!$C$14&gt;0,Gradesheet!#REF!,"NA")</f>
        <v>#REF!</v>
      </c>
      <c r="G263" s="138" t="e">
        <f>IF(Outline!$C$14&gt;0,Gradesheet!#REF!,Gradesheet!#REF!)</f>
        <v>#REF!</v>
      </c>
      <c r="H263" s="139" t="e">
        <f t="shared" ref="H263:H326" si="5">SUM(D263:G263)</f>
        <v>#REF!</v>
      </c>
    </row>
    <row r="264" spans="2:8" hidden="1" x14ac:dyDescent="0.25">
      <c r="B264" s="90" t="e">
        <f>Gradesheet!#REF!</f>
        <v>#REF!</v>
      </c>
      <c r="C264" s="91" t="e">
        <f>(Gradesheet!#REF!)</f>
        <v>#REF!</v>
      </c>
      <c r="D264" s="92" t="e">
        <f>IF(Outline!$C$14&gt;0,Gradesheet!#REF!,Gradesheet!#REF!)</f>
        <v>#REF!</v>
      </c>
      <c r="E264" s="138" t="e">
        <f>IF(Outline!$C$14&gt;0,Gradesheet!#REF!,Gradesheet!#REF!)</f>
        <v>#REF!</v>
      </c>
      <c r="F264" s="138" t="e">
        <f>IF(Outline!$C$14&gt;0,Gradesheet!#REF!,"NA")</f>
        <v>#REF!</v>
      </c>
      <c r="G264" s="138" t="e">
        <f>IF(Outline!$C$14&gt;0,Gradesheet!#REF!,Gradesheet!#REF!)</f>
        <v>#REF!</v>
      </c>
      <c r="H264" s="139" t="e">
        <f t="shared" si="5"/>
        <v>#REF!</v>
      </c>
    </row>
    <row r="265" spans="2:8" hidden="1" x14ac:dyDescent="0.25">
      <c r="B265" s="90" t="e">
        <f>Gradesheet!#REF!</f>
        <v>#REF!</v>
      </c>
      <c r="C265" s="91" t="e">
        <f>(Gradesheet!#REF!)</f>
        <v>#REF!</v>
      </c>
      <c r="D265" s="92" t="e">
        <f>IF(Outline!$C$14&gt;0,Gradesheet!#REF!,Gradesheet!#REF!)</f>
        <v>#REF!</v>
      </c>
      <c r="E265" s="138" t="e">
        <f>IF(Outline!$C$14&gt;0,Gradesheet!#REF!,Gradesheet!#REF!)</f>
        <v>#REF!</v>
      </c>
      <c r="F265" s="138" t="e">
        <f>IF(Outline!$C$14&gt;0,Gradesheet!#REF!,"NA")</f>
        <v>#REF!</v>
      </c>
      <c r="G265" s="138" t="e">
        <f>IF(Outline!$C$14&gt;0,Gradesheet!#REF!,Gradesheet!#REF!)</f>
        <v>#REF!</v>
      </c>
      <c r="H265" s="139" t="e">
        <f t="shared" si="5"/>
        <v>#REF!</v>
      </c>
    </row>
    <row r="266" spans="2:8" hidden="1" x14ac:dyDescent="0.25">
      <c r="B266" s="90" t="e">
        <f>Gradesheet!#REF!</f>
        <v>#REF!</v>
      </c>
      <c r="C266" s="91" t="e">
        <f>(Gradesheet!#REF!)</f>
        <v>#REF!</v>
      </c>
      <c r="D266" s="92" t="e">
        <f>IF(Outline!$C$14&gt;0,Gradesheet!#REF!,Gradesheet!#REF!)</f>
        <v>#REF!</v>
      </c>
      <c r="E266" s="138" t="e">
        <f>IF(Outline!$C$14&gt;0,Gradesheet!#REF!,Gradesheet!#REF!)</f>
        <v>#REF!</v>
      </c>
      <c r="F266" s="138" t="e">
        <f>IF(Outline!$C$14&gt;0,Gradesheet!#REF!,"NA")</f>
        <v>#REF!</v>
      </c>
      <c r="G266" s="138" t="e">
        <f>IF(Outline!$C$14&gt;0,Gradesheet!#REF!,Gradesheet!#REF!)</f>
        <v>#REF!</v>
      </c>
      <c r="H266" s="139" t="e">
        <f t="shared" si="5"/>
        <v>#REF!</v>
      </c>
    </row>
    <row r="267" spans="2:8" hidden="1" x14ac:dyDescent="0.25">
      <c r="B267" s="90" t="e">
        <f>Gradesheet!#REF!</f>
        <v>#REF!</v>
      </c>
      <c r="C267" s="91" t="e">
        <f>(Gradesheet!#REF!)</f>
        <v>#REF!</v>
      </c>
      <c r="D267" s="92" t="e">
        <f>IF(Outline!$C$14&gt;0,Gradesheet!#REF!,Gradesheet!#REF!)</f>
        <v>#REF!</v>
      </c>
      <c r="E267" s="138" t="e">
        <f>IF(Outline!$C$14&gt;0,Gradesheet!#REF!,Gradesheet!#REF!)</f>
        <v>#REF!</v>
      </c>
      <c r="F267" s="138" t="e">
        <f>IF(Outline!$C$14&gt;0,Gradesheet!#REF!,"NA")</f>
        <v>#REF!</v>
      </c>
      <c r="G267" s="138" t="e">
        <f>IF(Outline!$C$14&gt;0,Gradesheet!#REF!,Gradesheet!#REF!)</f>
        <v>#REF!</v>
      </c>
      <c r="H267" s="139" t="e">
        <f t="shared" si="5"/>
        <v>#REF!</v>
      </c>
    </row>
    <row r="268" spans="2:8" hidden="1" x14ac:dyDescent="0.25">
      <c r="B268" s="90" t="e">
        <f>Gradesheet!#REF!</f>
        <v>#REF!</v>
      </c>
      <c r="C268" s="91" t="e">
        <f>(Gradesheet!#REF!)</f>
        <v>#REF!</v>
      </c>
      <c r="D268" s="92" t="e">
        <f>IF(Outline!$C$14&gt;0,Gradesheet!#REF!,Gradesheet!#REF!)</f>
        <v>#REF!</v>
      </c>
      <c r="E268" s="138" t="e">
        <f>IF(Outline!$C$14&gt;0,Gradesheet!#REF!,Gradesheet!#REF!)</f>
        <v>#REF!</v>
      </c>
      <c r="F268" s="138" t="e">
        <f>IF(Outline!$C$14&gt;0,Gradesheet!#REF!,"NA")</f>
        <v>#REF!</v>
      </c>
      <c r="G268" s="138" t="e">
        <f>IF(Outline!$C$14&gt;0,Gradesheet!#REF!,Gradesheet!#REF!)</f>
        <v>#REF!</v>
      </c>
      <c r="H268" s="139" t="e">
        <f t="shared" si="5"/>
        <v>#REF!</v>
      </c>
    </row>
    <row r="269" spans="2:8" hidden="1" x14ac:dyDescent="0.25">
      <c r="B269" s="90" t="e">
        <f>Gradesheet!#REF!</f>
        <v>#REF!</v>
      </c>
      <c r="C269" s="91" t="e">
        <f>(Gradesheet!#REF!)</f>
        <v>#REF!</v>
      </c>
      <c r="D269" s="92" t="e">
        <f>IF(Outline!$C$14&gt;0,Gradesheet!#REF!,Gradesheet!#REF!)</f>
        <v>#REF!</v>
      </c>
      <c r="E269" s="138" t="e">
        <f>IF(Outline!$C$14&gt;0,Gradesheet!#REF!,Gradesheet!#REF!)</f>
        <v>#REF!</v>
      </c>
      <c r="F269" s="138" t="e">
        <f>IF(Outline!$C$14&gt;0,Gradesheet!#REF!,"NA")</f>
        <v>#REF!</v>
      </c>
      <c r="G269" s="138" t="e">
        <f>IF(Outline!$C$14&gt;0,Gradesheet!#REF!,Gradesheet!#REF!)</f>
        <v>#REF!</v>
      </c>
      <c r="H269" s="139" t="e">
        <f t="shared" si="5"/>
        <v>#REF!</v>
      </c>
    </row>
    <row r="270" spans="2:8" hidden="1" x14ac:dyDescent="0.25">
      <c r="B270" s="90" t="e">
        <f>Gradesheet!#REF!</f>
        <v>#REF!</v>
      </c>
      <c r="C270" s="91" t="e">
        <f>(Gradesheet!#REF!)</f>
        <v>#REF!</v>
      </c>
      <c r="D270" s="92" t="e">
        <f>IF(Outline!$C$14&gt;0,Gradesheet!#REF!,Gradesheet!#REF!)</f>
        <v>#REF!</v>
      </c>
      <c r="E270" s="138" t="e">
        <f>IF(Outline!$C$14&gt;0,Gradesheet!#REF!,Gradesheet!#REF!)</f>
        <v>#REF!</v>
      </c>
      <c r="F270" s="138" t="e">
        <f>IF(Outline!$C$14&gt;0,Gradesheet!#REF!,"NA")</f>
        <v>#REF!</v>
      </c>
      <c r="G270" s="138" t="e">
        <f>IF(Outline!$C$14&gt;0,Gradesheet!#REF!,Gradesheet!#REF!)</f>
        <v>#REF!</v>
      </c>
      <c r="H270" s="139" t="e">
        <f t="shared" si="5"/>
        <v>#REF!</v>
      </c>
    </row>
    <row r="271" spans="2:8" hidden="1" x14ac:dyDescent="0.25">
      <c r="B271" s="90" t="e">
        <f>Gradesheet!#REF!</f>
        <v>#REF!</v>
      </c>
      <c r="C271" s="91" t="e">
        <f>(Gradesheet!#REF!)</f>
        <v>#REF!</v>
      </c>
      <c r="D271" s="92" t="e">
        <f>IF(Outline!$C$14&gt;0,Gradesheet!#REF!,Gradesheet!#REF!)</f>
        <v>#REF!</v>
      </c>
      <c r="E271" s="138" t="e">
        <f>IF(Outline!$C$14&gt;0,Gradesheet!#REF!,Gradesheet!#REF!)</f>
        <v>#REF!</v>
      </c>
      <c r="F271" s="138" t="e">
        <f>IF(Outline!$C$14&gt;0,Gradesheet!#REF!,"NA")</f>
        <v>#REF!</v>
      </c>
      <c r="G271" s="138" t="e">
        <f>IF(Outline!$C$14&gt;0,Gradesheet!#REF!,Gradesheet!#REF!)</f>
        <v>#REF!</v>
      </c>
      <c r="H271" s="139" t="e">
        <f t="shared" si="5"/>
        <v>#REF!</v>
      </c>
    </row>
    <row r="272" spans="2:8" hidden="1" x14ac:dyDescent="0.25">
      <c r="B272" s="90" t="e">
        <f>Gradesheet!#REF!</f>
        <v>#REF!</v>
      </c>
      <c r="C272" s="91" t="e">
        <f>(Gradesheet!#REF!)</f>
        <v>#REF!</v>
      </c>
      <c r="D272" s="92" t="e">
        <f>IF(Outline!$C$14&gt;0,Gradesheet!#REF!,Gradesheet!#REF!)</f>
        <v>#REF!</v>
      </c>
      <c r="E272" s="138" t="e">
        <f>IF(Outline!$C$14&gt;0,Gradesheet!#REF!,Gradesheet!#REF!)</f>
        <v>#REF!</v>
      </c>
      <c r="F272" s="138" t="e">
        <f>IF(Outline!$C$14&gt;0,Gradesheet!#REF!,"NA")</f>
        <v>#REF!</v>
      </c>
      <c r="G272" s="138" t="e">
        <f>IF(Outline!$C$14&gt;0,Gradesheet!#REF!,Gradesheet!#REF!)</f>
        <v>#REF!</v>
      </c>
      <c r="H272" s="139" t="e">
        <f t="shared" si="5"/>
        <v>#REF!</v>
      </c>
    </row>
    <row r="273" spans="2:8" hidden="1" x14ac:dyDescent="0.25">
      <c r="B273" s="90" t="e">
        <f>Gradesheet!#REF!</f>
        <v>#REF!</v>
      </c>
      <c r="C273" s="91" t="e">
        <f>(Gradesheet!#REF!)</f>
        <v>#REF!</v>
      </c>
      <c r="D273" s="92" t="e">
        <f>IF(Outline!$C$14&gt;0,Gradesheet!#REF!,Gradesheet!#REF!)</f>
        <v>#REF!</v>
      </c>
      <c r="E273" s="138" t="e">
        <f>IF(Outline!$C$14&gt;0,Gradesheet!#REF!,Gradesheet!#REF!)</f>
        <v>#REF!</v>
      </c>
      <c r="F273" s="138" t="e">
        <f>IF(Outline!$C$14&gt;0,Gradesheet!#REF!,"NA")</f>
        <v>#REF!</v>
      </c>
      <c r="G273" s="138" t="e">
        <f>IF(Outline!$C$14&gt;0,Gradesheet!#REF!,Gradesheet!#REF!)</f>
        <v>#REF!</v>
      </c>
      <c r="H273" s="139" t="e">
        <f t="shared" si="5"/>
        <v>#REF!</v>
      </c>
    </row>
    <row r="274" spans="2:8" hidden="1" x14ac:dyDescent="0.25">
      <c r="B274" s="90" t="e">
        <f>Gradesheet!#REF!</f>
        <v>#REF!</v>
      </c>
      <c r="C274" s="91" t="e">
        <f>(Gradesheet!#REF!)</f>
        <v>#REF!</v>
      </c>
      <c r="D274" s="92" t="e">
        <f>IF(Outline!$C$14&gt;0,Gradesheet!#REF!,Gradesheet!#REF!)</f>
        <v>#REF!</v>
      </c>
      <c r="E274" s="138" t="e">
        <f>IF(Outline!$C$14&gt;0,Gradesheet!#REF!,Gradesheet!#REF!)</f>
        <v>#REF!</v>
      </c>
      <c r="F274" s="138" t="e">
        <f>IF(Outline!$C$14&gt;0,Gradesheet!#REF!,"NA")</f>
        <v>#REF!</v>
      </c>
      <c r="G274" s="138" t="e">
        <f>IF(Outline!$C$14&gt;0,Gradesheet!#REF!,Gradesheet!#REF!)</f>
        <v>#REF!</v>
      </c>
      <c r="H274" s="139" t="e">
        <f t="shared" si="5"/>
        <v>#REF!</v>
      </c>
    </row>
    <row r="275" spans="2:8" hidden="1" x14ac:dyDescent="0.25">
      <c r="B275" s="90" t="e">
        <f>Gradesheet!#REF!</f>
        <v>#REF!</v>
      </c>
      <c r="C275" s="91" t="e">
        <f>(Gradesheet!#REF!)</f>
        <v>#REF!</v>
      </c>
      <c r="D275" s="92" t="e">
        <f>IF(Outline!$C$14&gt;0,Gradesheet!#REF!,Gradesheet!#REF!)</f>
        <v>#REF!</v>
      </c>
      <c r="E275" s="138" t="e">
        <f>IF(Outline!$C$14&gt;0,Gradesheet!#REF!,Gradesheet!#REF!)</f>
        <v>#REF!</v>
      </c>
      <c r="F275" s="138" t="e">
        <f>IF(Outline!$C$14&gt;0,Gradesheet!#REF!,"NA")</f>
        <v>#REF!</v>
      </c>
      <c r="G275" s="138" t="e">
        <f>IF(Outline!$C$14&gt;0,Gradesheet!#REF!,Gradesheet!#REF!)</f>
        <v>#REF!</v>
      </c>
      <c r="H275" s="139" t="e">
        <f t="shared" si="5"/>
        <v>#REF!</v>
      </c>
    </row>
    <row r="276" spans="2:8" hidden="1" x14ac:dyDescent="0.25">
      <c r="B276" s="90" t="e">
        <f>Gradesheet!#REF!</f>
        <v>#REF!</v>
      </c>
      <c r="C276" s="91" t="e">
        <f>(Gradesheet!#REF!)</f>
        <v>#REF!</v>
      </c>
      <c r="D276" s="92" t="e">
        <f>IF(Outline!$C$14&gt;0,Gradesheet!#REF!,Gradesheet!#REF!)</f>
        <v>#REF!</v>
      </c>
      <c r="E276" s="138" t="e">
        <f>IF(Outline!$C$14&gt;0,Gradesheet!#REF!,Gradesheet!#REF!)</f>
        <v>#REF!</v>
      </c>
      <c r="F276" s="138" t="e">
        <f>IF(Outline!$C$14&gt;0,Gradesheet!#REF!,"NA")</f>
        <v>#REF!</v>
      </c>
      <c r="G276" s="138" t="e">
        <f>IF(Outline!$C$14&gt;0,Gradesheet!#REF!,Gradesheet!#REF!)</f>
        <v>#REF!</v>
      </c>
      <c r="H276" s="139" t="e">
        <f t="shared" si="5"/>
        <v>#REF!</v>
      </c>
    </row>
    <row r="277" spans="2:8" hidden="1" x14ac:dyDescent="0.25">
      <c r="B277" s="90" t="e">
        <f>Gradesheet!#REF!</f>
        <v>#REF!</v>
      </c>
      <c r="C277" s="91" t="e">
        <f>(Gradesheet!#REF!)</f>
        <v>#REF!</v>
      </c>
      <c r="D277" s="92" t="e">
        <f>IF(Outline!$C$14&gt;0,Gradesheet!#REF!,Gradesheet!#REF!)</f>
        <v>#REF!</v>
      </c>
      <c r="E277" s="138" t="e">
        <f>IF(Outline!$C$14&gt;0,Gradesheet!#REF!,Gradesheet!#REF!)</f>
        <v>#REF!</v>
      </c>
      <c r="F277" s="138" t="e">
        <f>IF(Outline!$C$14&gt;0,Gradesheet!#REF!,"NA")</f>
        <v>#REF!</v>
      </c>
      <c r="G277" s="138" t="e">
        <f>IF(Outline!$C$14&gt;0,Gradesheet!#REF!,Gradesheet!#REF!)</f>
        <v>#REF!</v>
      </c>
      <c r="H277" s="139" t="e">
        <f t="shared" si="5"/>
        <v>#REF!</v>
      </c>
    </row>
    <row r="278" spans="2:8" hidden="1" x14ac:dyDescent="0.25">
      <c r="B278" s="90" t="e">
        <f>Gradesheet!#REF!</f>
        <v>#REF!</v>
      </c>
      <c r="C278" s="91" t="e">
        <f>(Gradesheet!#REF!)</f>
        <v>#REF!</v>
      </c>
      <c r="D278" s="92" t="e">
        <f>IF(Outline!$C$14&gt;0,Gradesheet!#REF!,Gradesheet!#REF!)</f>
        <v>#REF!</v>
      </c>
      <c r="E278" s="138" t="e">
        <f>IF(Outline!$C$14&gt;0,Gradesheet!#REF!,Gradesheet!#REF!)</f>
        <v>#REF!</v>
      </c>
      <c r="F278" s="138" t="e">
        <f>IF(Outline!$C$14&gt;0,Gradesheet!#REF!,"NA")</f>
        <v>#REF!</v>
      </c>
      <c r="G278" s="138" t="e">
        <f>IF(Outline!$C$14&gt;0,Gradesheet!#REF!,Gradesheet!#REF!)</f>
        <v>#REF!</v>
      </c>
      <c r="H278" s="139" t="e">
        <f t="shared" si="5"/>
        <v>#REF!</v>
      </c>
    </row>
    <row r="279" spans="2:8" hidden="1" x14ac:dyDescent="0.25">
      <c r="B279" s="90" t="e">
        <f>Gradesheet!#REF!</f>
        <v>#REF!</v>
      </c>
      <c r="C279" s="91" t="e">
        <f>(Gradesheet!#REF!)</f>
        <v>#REF!</v>
      </c>
      <c r="D279" s="92" t="e">
        <f>IF(Outline!$C$14&gt;0,Gradesheet!#REF!,Gradesheet!#REF!)</f>
        <v>#REF!</v>
      </c>
      <c r="E279" s="138" t="e">
        <f>IF(Outline!$C$14&gt;0,Gradesheet!#REF!,Gradesheet!#REF!)</f>
        <v>#REF!</v>
      </c>
      <c r="F279" s="138" t="e">
        <f>IF(Outline!$C$14&gt;0,Gradesheet!#REF!,"NA")</f>
        <v>#REF!</v>
      </c>
      <c r="G279" s="138" t="e">
        <f>IF(Outline!$C$14&gt;0,Gradesheet!#REF!,Gradesheet!#REF!)</f>
        <v>#REF!</v>
      </c>
      <c r="H279" s="139" t="e">
        <f t="shared" si="5"/>
        <v>#REF!</v>
      </c>
    </row>
    <row r="280" spans="2:8" hidden="1" x14ac:dyDescent="0.25">
      <c r="B280" s="90" t="e">
        <f>Gradesheet!#REF!</f>
        <v>#REF!</v>
      </c>
      <c r="C280" s="91" t="e">
        <f>(Gradesheet!#REF!)</f>
        <v>#REF!</v>
      </c>
      <c r="D280" s="92" t="e">
        <f>IF(Outline!$C$14&gt;0,Gradesheet!#REF!,Gradesheet!#REF!)</f>
        <v>#REF!</v>
      </c>
      <c r="E280" s="138" t="e">
        <f>IF(Outline!$C$14&gt;0,Gradesheet!#REF!,Gradesheet!#REF!)</f>
        <v>#REF!</v>
      </c>
      <c r="F280" s="138" t="e">
        <f>IF(Outline!$C$14&gt;0,Gradesheet!#REF!,"NA")</f>
        <v>#REF!</v>
      </c>
      <c r="G280" s="138" t="e">
        <f>IF(Outline!$C$14&gt;0,Gradesheet!#REF!,Gradesheet!#REF!)</f>
        <v>#REF!</v>
      </c>
      <c r="H280" s="139" t="e">
        <f t="shared" si="5"/>
        <v>#REF!</v>
      </c>
    </row>
    <row r="281" spans="2:8" hidden="1" x14ac:dyDescent="0.25">
      <c r="B281" s="90" t="e">
        <f>Gradesheet!#REF!</f>
        <v>#REF!</v>
      </c>
      <c r="C281" s="91" t="e">
        <f>(Gradesheet!#REF!)</f>
        <v>#REF!</v>
      </c>
      <c r="D281" s="92" t="e">
        <f>IF(Outline!$C$14&gt;0,Gradesheet!#REF!,Gradesheet!#REF!)</f>
        <v>#REF!</v>
      </c>
      <c r="E281" s="138" t="e">
        <f>IF(Outline!$C$14&gt;0,Gradesheet!#REF!,Gradesheet!#REF!)</f>
        <v>#REF!</v>
      </c>
      <c r="F281" s="138" t="e">
        <f>IF(Outline!$C$14&gt;0,Gradesheet!#REF!,"NA")</f>
        <v>#REF!</v>
      </c>
      <c r="G281" s="138" t="e">
        <f>IF(Outline!$C$14&gt;0,Gradesheet!#REF!,Gradesheet!#REF!)</f>
        <v>#REF!</v>
      </c>
      <c r="H281" s="139" t="e">
        <f t="shared" si="5"/>
        <v>#REF!</v>
      </c>
    </row>
    <row r="282" spans="2:8" hidden="1" x14ac:dyDescent="0.25">
      <c r="B282" s="90" t="e">
        <f>Gradesheet!#REF!</f>
        <v>#REF!</v>
      </c>
      <c r="C282" s="91" t="e">
        <f>(Gradesheet!#REF!)</f>
        <v>#REF!</v>
      </c>
      <c r="D282" s="92" t="e">
        <f>IF(Outline!$C$14&gt;0,Gradesheet!#REF!,Gradesheet!#REF!)</f>
        <v>#REF!</v>
      </c>
      <c r="E282" s="138" t="e">
        <f>IF(Outline!$C$14&gt;0,Gradesheet!#REF!,Gradesheet!#REF!)</f>
        <v>#REF!</v>
      </c>
      <c r="F282" s="138" t="e">
        <f>IF(Outline!$C$14&gt;0,Gradesheet!#REF!,"NA")</f>
        <v>#REF!</v>
      </c>
      <c r="G282" s="138" t="e">
        <f>IF(Outline!$C$14&gt;0,Gradesheet!#REF!,Gradesheet!#REF!)</f>
        <v>#REF!</v>
      </c>
      <c r="H282" s="139" t="e">
        <f t="shared" si="5"/>
        <v>#REF!</v>
      </c>
    </row>
    <row r="283" spans="2:8" hidden="1" x14ac:dyDescent="0.25">
      <c r="B283" s="90" t="e">
        <f>Gradesheet!#REF!</f>
        <v>#REF!</v>
      </c>
      <c r="C283" s="91" t="e">
        <f>(Gradesheet!#REF!)</f>
        <v>#REF!</v>
      </c>
      <c r="D283" s="92" t="e">
        <f>IF(Outline!$C$14&gt;0,Gradesheet!#REF!,Gradesheet!#REF!)</f>
        <v>#REF!</v>
      </c>
      <c r="E283" s="138" t="e">
        <f>IF(Outline!$C$14&gt;0,Gradesheet!#REF!,Gradesheet!#REF!)</f>
        <v>#REF!</v>
      </c>
      <c r="F283" s="138" t="e">
        <f>IF(Outline!$C$14&gt;0,Gradesheet!#REF!,"NA")</f>
        <v>#REF!</v>
      </c>
      <c r="G283" s="138" t="e">
        <f>IF(Outline!$C$14&gt;0,Gradesheet!#REF!,Gradesheet!#REF!)</f>
        <v>#REF!</v>
      </c>
      <c r="H283" s="139" t="e">
        <f t="shared" si="5"/>
        <v>#REF!</v>
      </c>
    </row>
    <row r="284" spans="2:8" hidden="1" x14ac:dyDescent="0.25">
      <c r="B284" s="90" t="e">
        <f>Gradesheet!#REF!</f>
        <v>#REF!</v>
      </c>
      <c r="C284" s="91" t="e">
        <f>(Gradesheet!#REF!)</f>
        <v>#REF!</v>
      </c>
      <c r="D284" s="92" t="e">
        <f>IF(Outline!$C$14&gt;0,Gradesheet!#REF!,Gradesheet!#REF!)</f>
        <v>#REF!</v>
      </c>
      <c r="E284" s="138" t="e">
        <f>IF(Outline!$C$14&gt;0,Gradesheet!#REF!,Gradesheet!#REF!)</f>
        <v>#REF!</v>
      </c>
      <c r="F284" s="138" t="e">
        <f>IF(Outline!$C$14&gt;0,Gradesheet!#REF!,"NA")</f>
        <v>#REF!</v>
      </c>
      <c r="G284" s="138" t="e">
        <f>IF(Outline!$C$14&gt;0,Gradesheet!#REF!,Gradesheet!#REF!)</f>
        <v>#REF!</v>
      </c>
      <c r="H284" s="139" t="e">
        <f t="shared" si="5"/>
        <v>#REF!</v>
      </c>
    </row>
    <row r="285" spans="2:8" hidden="1" x14ac:dyDescent="0.25">
      <c r="B285" s="90" t="e">
        <f>Gradesheet!#REF!</f>
        <v>#REF!</v>
      </c>
      <c r="C285" s="91" t="e">
        <f>(Gradesheet!#REF!)</f>
        <v>#REF!</v>
      </c>
      <c r="D285" s="92" t="e">
        <f>IF(Outline!$C$14&gt;0,Gradesheet!#REF!,Gradesheet!#REF!)</f>
        <v>#REF!</v>
      </c>
      <c r="E285" s="138" t="e">
        <f>IF(Outline!$C$14&gt;0,Gradesheet!#REF!,Gradesheet!#REF!)</f>
        <v>#REF!</v>
      </c>
      <c r="F285" s="138" t="e">
        <f>IF(Outline!$C$14&gt;0,Gradesheet!#REF!,"NA")</f>
        <v>#REF!</v>
      </c>
      <c r="G285" s="138" t="e">
        <f>IF(Outline!$C$14&gt;0,Gradesheet!#REF!,Gradesheet!#REF!)</f>
        <v>#REF!</v>
      </c>
      <c r="H285" s="139" t="e">
        <f t="shared" si="5"/>
        <v>#REF!</v>
      </c>
    </row>
    <row r="286" spans="2:8" hidden="1" x14ac:dyDescent="0.25">
      <c r="B286" s="90" t="e">
        <f>Gradesheet!#REF!</f>
        <v>#REF!</v>
      </c>
      <c r="C286" s="91" t="e">
        <f>(Gradesheet!#REF!)</f>
        <v>#REF!</v>
      </c>
      <c r="D286" s="92" t="e">
        <f>IF(Outline!$C$14&gt;0,Gradesheet!#REF!,Gradesheet!#REF!)</f>
        <v>#REF!</v>
      </c>
      <c r="E286" s="138" t="e">
        <f>IF(Outline!$C$14&gt;0,Gradesheet!#REF!,Gradesheet!#REF!)</f>
        <v>#REF!</v>
      </c>
      <c r="F286" s="138" t="e">
        <f>IF(Outline!$C$14&gt;0,Gradesheet!#REF!,"NA")</f>
        <v>#REF!</v>
      </c>
      <c r="G286" s="138" t="e">
        <f>IF(Outline!$C$14&gt;0,Gradesheet!#REF!,Gradesheet!#REF!)</f>
        <v>#REF!</v>
      </c>
      <c r="H286" s="139" t="e">
        <f t="shared" si="5"/>
        <v>#REF!</v>
      </c>
    </row>
    <row r="287" spans="2:8" hidden="1" x14ac:dyDescent="0.25">
      <c r="B287" s="90" t="e">
        <f>Gradesheet!#REF!</f>
        <v>#REF!</v>
      </c>
      <c r="C287" s="91" t="e">
        <f>(Gradesheet!#REF!)</f>
        <v>#REF!</v>
      </c>
      <c r="D287" s="92" t="e">
        <f>IF(Outline!$C$14&gt;0,Gradesheet!#REF!,Gradesheet!#REF!)</f>
        <v>#REF!</v>
      </c>
      <c r="E287" s="138" t="e">
        <f>IF(Outline!$C$14&gt;0,Gradesheet!#REF!,Gradesheet!#REF!)</f>
        <v>#REF!</v>
      </c>
      <c r="F287" s="138" t="e">
        <f>IF(Outline!$C$14&gt;0,Gradesheet!#REF!,"NA")</f>
        <v>#REF!</v>
      </c>
      <c r="G287" s="138" t="e">
        <f>IF(Outline!$C$14&gt;0,Gradesheet!#REF!,Gradesheet!#REF!)</f>
        <v>#REF!</v>
      </c>
      <c r="H287" s="139" t="e">
        <f t="shared" si="5"/>
        <v>#REF!</v>
      </c>
    </row>
    <row r="288" spans="2:8" hidden="1" x14ac:dyDescent="0.25">
      <c r="B288" s="90" t="e">
        <f>Gradesheet!#REF!</f>
        <v>#REF!</v>
      </c>
      <c r="C288" s="91" t="e">
        <f>(Gradesheet!#REF!)</f>
        <v>#REF!</v>
      </c>
      <c r="D288" s="92" t="e">
        <f>IF(Outline!$C$14&gt;0,Gradesheet!#REF!,Gradesheet!#REF!)</f>
        <v>#REF!</v>
      </c>
      <c r="E288" s="138" t="e">
        <f>IF(Outline!$C$14&gt;0,Gradesheet!#REF!,Gradesheet!#REF!)</f>
        <v>#REF!</v>
      </c>
      <c r="F288" s="138" t="e">
        <f>IF(Outline!$C$14&gt;0,Gradesheet!#REF!,"NA")</f>
        <v>#REF!</v>
      </c>
      <c r="G288" s="138" t="e">
        <f>IF(Outline!$C$14&gt;0,Gradesheet!#REF!,Gradesheet!#REF!)</f>
        <v>#REF!</v>
      </c>
      <c r="H288" s="139" t="e">
        <f t="shared" si="5"/>
        <v>#REF!</v>
      </c>
    </row>
    <row r="289" spans="2:8" hidden="1" x14ac:dyDescent="0.25">
      <c r="B289" s="90" t="e">
        <f>Gradesheet!#REF!</f>
        <v>#REF!</v>
      </c>
      <c r="C289" s="91" t="e">
        <f>(Gradesheet!#REF!)</f>
        <v>#REF!</v>
      </c>
      <c r="D289" s="92" t="e">
        <f>IF(Outline!$C$14&gt;0,Gradesheet!#REF!,Gradesheet!#REF!)</f>
        <v>#REF!</v>
      </c>
      <c r="E289" s="138" t="e">
        <f>IF(Outline!$C$14&gt;0,Gradesheet!#REF!,Gradesheet!#REF!)</f>
        <v>#REF!</v>
      </c>
      <c r="F289" s="138" t="e">
        <f>IF(Outline!$C$14&gt;0,Gradesheet!#REF!,"NA")</f>
        <v>#REF!</v>
      </c>
      <c r="G289" s="138" t="e">
        <f>IF(Outline!$C$14&gt;0,Gradesheet!#REF!,Gradesheet!#REF!)</f>
        <v>#REF!</v>
      </c>
      <c r="H289" s="139" t="e">
        <f t="shared" si="5"/>
        <v>#REF!</v>
      </c>
    </row>
    <row r="290" spans="2:8" hidden="1" x14ac:dyDescent="0.25">
      <c r="B290" s="90" t="e">
        <f>Gradesheet!#REF!</f>
        <v>#REF!</v>
      </c>
      <c r="C290" s="91" t="e">
        <f>(Gradesheet!#REF!)</f>
        <v>#REF!</v>
      </c>
      <c r="D290" s="92" t="e">
        <f>IF(Outline!$C$14&gt;0,Gradesheet!#REF!,Gradesheet!#REF!)</f>
        <v>#REF!</v>
      </c>
      <c r="E290" s="138" t="e">
        <f>IF(Outline!$C$14&gt;0,Gradesheet!#REF!,Gradesheet!#REF!)</f>
        <v>#REF!</v>
      </c>
      <c r="F290" s="138" t="e">
        <f>IF(Outline!$C$14&gt;0,Gradesheet!#REF!,"NA")</f>
        <v>#REF!</v>
      </c>
      <c r="G290" s="138" t="e">
        <f>IF(Outline!$C$14&gt;0,Gradesheet!#REF!,Gradesheet!#REF!)</f>
        <v>#REF!</v>
      </c>
      <c r="H290" s="139" t="e">
        <f t="shared" si="5"/>
        <v>#REF!</v>
      </c>
    </row>
    <row r="291" spans="2:8" hidden="1" x14ac:dyDescent="0.25">
      <c r="B291" s="90" t="e">
        <f>Gradesheet!#REF!</f>
        <v>#REF!</v>
      </c>
      <c r="C291" s="91" t="e">
        <f>(Gradesheet!#REF!)</f>
        <v>#REF!</v>
      </c>
      <c r="D291" s="92" t="e">
        <f>IF(Outline!$C$14&gt;0,Gradesheet!#REF!,Gradesheet!#REF!)</f>
        <v>#REF!</v>
      </c>
      <c r="E291" s="138" t="e">
        <f>IF(Outline!$C$14&gt;0,Gradesheet!#REF!,Gradesheet!#REF!)</f>
        <v>#REF!</v>
      </c>
      <c r="F291" s="138" t="e">
        <f>IF(Outline!$C$14&gt;0,Gradesheet!#REF!,"NA")</f>
        <v>#REF!</v>
      </c>
      <c r="G291" s="138" t="e">
        <f>IF(Outline!$C$14&gt;0,Gradesheet!#REF!,Gradesheet!#REF!)</f>
        <v>#REF!</v>
      </c>
      <c r="H291" s="139" t="e">
        <f t="shared" si="5"/>
        <v>#REF!</v>
      </c>
    </row>
    <row r="292" spans="2:8" hidden="1" x14ac:dyDescent="0.25">
      <c r="B292" s="90" t="e">
        <f>Gradesheet!#REF!</f>
        <v>#REF!</v>
      </c>
      <c r="C292" s="91" t="e">
        <f>(Gradesheet!#REF!)</f>
        <v>#REF!</v>
      </c>
      <c r="D292" s="92" t="e">
        <f>IF(Outline!$C$14&gt;0,Gradesheet!#REF!,Gradesheet!#REF!)</f>
        <v>#REF!</v>
      </c>
      <c r="E292" s="138" t="e">
        <f>IF(Outline!$C$14&gt;0,Gradesheet!#REF!,Gradesheet!#REF!)</f>
        <v>#REF!</v>
      </c>
      <c r="F292" s="138" t="e">
        <f>IF(Outline!$C$14&gt;0,Gradesheet!#REF!,"NA")</f>
        <v>#REF!</v>
      </c>
      <c r="G292" s="138" t="e">
        <f>IF(Outline!$C$14&gt;0,Gradesheet!#REF!,Gradesheet!#REF!)</f>
        <v>#REF!</v>
      </c>
      <c r="H292" s="139" t="e">
        <f t="shared" si="5"/>
        <v>#REF!</v>
      </c>
    </row>
    <row r="293" spans="2:8" hidden="1" x14ac:dyDescent="0.25">
      <c r="B293" s="90" t="e">
        <f>Gradesheet!#REF!</f>
        <v>#REF!</v>
      </c>
      <c r="C293" s="91" t="e">
        <f>(Gradesheet!#REF!)</f>
        <v>#REF!</v>
      </c>
      <c r="D293" s="92" t="e">
        <f>IF(Outline!$C$14&gt;0,Gradesheet!#REF!,Gradesheet!#REF!)</f>
        <v>#REF!</v>
      </c>
      <c r="E293" s="138" t="e">
        <f>IF(Outline!$C$14&gt;0,Gradesheet!#REF!,Gradesheet!#REF!)</f>
        <v>#REF!</v>
      </c>
      <c r="F293" s="138" t="e">
        <f>IF(Outline!$C$14&gt;0,Gradesheet!#REF!,"NA")</f>
        <v>#REF!</v>
      </c>
      <c r="G293" s="138" t="e">
        <f>IF(Outline!$C$14&gt;0,Gradesheet!#REF!,Gradesheet!#REF!)</f>
        <v>#REF!</v>
      </c>
      <c r="H293" s="139" t="e">
        <f t="shared" si="5"/>
        <v>#REF!</v>
      </c>
    </row>
    <row r="294" spans="2:8" hidden="1" x14ac:dyDescent="0.25">
      <c r="B294" s="90" t="e">
        <f>Gradesheet!#REF!</f>
        <v>#REF!</v>
      </c>
      <c r="C294" s="91" t="e">
        <f>(Gradesheet!#REF!)</f>
        <v>#REF!</v>
      </c>
      <c r="D294" s="92" t="e">
        <f>IF(Outline!$C$14&gt;0,Gradesheet!#REF!,Gradesheet!#REF!)</f>
        <v>#REF!</v>
      </c>
      <c r="E294" s="138" t="e">
        <f>IF(Outline!$C$14&gt;0,Gradesheet!#REF!,Gradesheet!#REF!)</f>
        <v>#REF!</v>
      </c>
      <c r="F294" s="138" t="e">
        <f>IF(Outline!$C$14&gt;0,Gradesheet!#REF!,"NA")</f>
        <v>#REF!</v>
      </c>
      <c r="G294" s="138" t="e">
        <f>IF(Outline!$C$14&gt;0,Gradesheet!#REF!,Gradesheet!#REF!)</f>
        <v>#REF!</v>
      </c>
      <c r="H294" s="139" t="e">
        <f t="shared" si="5"/>
        <v>#REF!</v>
      </c>
    </row>
    <row r="295" spans="2:8" hidden="1" x14ac:dyDescent="0.25">
      <c r="B295" s="90" t="e">
        <f>Gradesheet!#REF!</f>
        <v>#REF!</v>
      </c>
      <c r="C295" s="91" t="e">
        <f>(Gradesheet!#REF!)</f>
        <v>#REF!</v>
      </c>
      <c r="D295" s="92" t="e">
        <f>IF(Outline!$C$14&gt;0,Gradesheet!#REF!,Gradesheet!#REF!)</f>
        <v>#REF!</v>
      </c>
      <c r="E295" s="138" t="e">
        <f>IF(Outline!$C$14&gt;0,Gradesheet!#REF!,Gradesheet!#REF!)</f>
        <v>#REF!</v>
      </c>
      <c r="F295" s="138" t="e">
        <f>IF(Outline!$C$14&gt;0,Gradesheet!#REF!,"NA")</f>
        <v>#REF!</v>
      </c>
      <c r="G295" s="138" t="e">
        <f>IF(Outline!$C$14&gt;0,Gradesheet!#REF!,Gradesheet!#REF!)</f>
        <v>#REF!</v>
      </c>
      <c r="H295" s="139" t="e">
        <f t="shared" si="5"/>
        <v>#REF!</v>
      </c>
    </row>
    <row r="296" spans="2:8" hidden="1" x14ac:dyDescent="0.25">
      <c r="B296" s="90" t="e">
        <f>Gradesheet!#REF!</f>
        <v>#REF!</v>
      </c>
      <c r="C296" s="91" t="e">
        <f>(Gradesheet!#REF!)</f>
        <v>#REF!</v>
      </c>
      <c r="D296" s="92" t="e">
        <f>IF(Outline!$C$14&gt;0,Gradesheet!#REF!,Gradesheet!#REF!)</f>
        <v>#REF!</v>
      </c>
      <c r="E296" s="138" t="e">
        <f>IF(Outline!$C$14&gt;0,Gradesheet!#REF!,Gradesheet!#REF!)</f>
        <v>#REF!</v>
      </c>
      <c r="F296" s="138" t="e">
        <f>IF(Outline!$C$14&gt;0,Gradesheet!#REF!,"NA")</f>
        <v>#REF!</v>
      </c>
      <c r="G296" s="138" t="e">
        <f>IF(Outline!$C$14&gt;0,Gradesheet!#REF!,Gradesheet!#REF!)</f>
        <v>#REF!</v>
      </c>
      <c r="H296" s="139" t="e">
        <f t="shared" si="5"/>
        <v>#REF!</v>
      </c>
    </row>
    <row r="297" spans="2:8" hidden="1" x14ac:dyDescent="0.25">
      <c r="B297" s="90" t="e">
        <f>Gradesheet!#REF!</f>
        <v>#REF!</v>
      </c>
      <c r="C297" s="91" t="e">
        <f>(Gradesheet!#REF!)</f>
        <v>#REF!</v>
      </c>
      <c r="D297" s="92" t="e">
        <f>IF(Outline!$C$14&gt;0,Gradesheet!#REF!,Gradesheet!#REF!)</f>
        <v>#REF!</v>
      </c>
      <c r="E297" s="138" t="e">
        <f>IF(Outline!$C$14&gt;0,Gradesheet!#REF!,Gradesheet!#REF!)</f>
        <v>#REF!</v>
      </c>
      <c r="F297" s="138" t="e">
        <f>IF(Outline!$C$14&gt;0,Gradesheet!#REF!,"NA")</f>
        <v>#REF!</v>
      </c>
      <c r="G297" s="138" t="e">
        <f>IF(Outline!$C$14&gt;0,Gradesheet!#REF!,Gradesheet!#REF!)</f>
        <v>#REF!</v>
      </c>
      <c r="H297" s="139" t="e">
        <f t="shared" si="5"/>
        <v>#REF!</v>
      </c>
    </row>
    <row r="298" spans="2:8" hidden="1" x14ac:dyDescent="0.25">
      <c r="B298" s="90" t="e">
        <f>Gradesheet!#REF!</f>
        <v>#REF!</v>
      </c>
      <c r="C298" s="91" t="e">
        <f>(Gradesheet!#REF!)</f>
        <v>#REF!</v>
      </c>
      <c r="D298" s="92" t="e">
        <f>IF(Outline!$C$14&gt;0,Gradesheet!#REF!,Gradesheet!#REF!)</f>
        <v>#REF!</v>
      </c>
      <c r="E298" s="138" t="e">
        <f>IF(Outline!$C$14&gt;0,Gradesheet!#REF!,Gradesheet!#REF!)</f>
        <v>#REF!</v>
      </c>
      <c r="F298" s="138" t="e">
        <f>IF(Outline!$C$14&gt;0,Gradesheet!#REF!,"NA")</f>
        <v>#REF!</v>
      </c>
      <c r="G298" s="138" t="e">
        <f>IF(Outline!$C$14&gt;0,Gradesheet!#REF!,Gradesheet!#REF!)</f>
        <v>#REF!</v>
      </c>
      <c r="H298" s="139" t="e">
        <f t="shared" si="5"/>
        <v>#REF!</v>
      </c>
    </row>
    <row r="299" spans="2:8" hidden="1" x14ac:dyDescent="0.25">
      <c r="B299" s="90" t="e">
        <f>Gradesheet!#REF!</f>
        <v>#REF!</v>
      </c>
      <c r="C299" s="91" t="e">
        <f>(Gradesheet!#REF!)</f>
        <v>#REF!</v>
      </c>
      <c r="D299" s="92" t="e">
        <f>IF(Outline!$C$14&gt;0,Gradesheet!#REF!,Gradesheet!#REF!)</f>
        <v>#REF!</v>
      </c>
      <c r="E299" s="138" t="e">
        <f>IF(Outline!$C$14&gt;0,Gradesheet!#REF!,Gradesheet!#REF!)</f>
        <v>#REF!</v>
      </c>
      <c r="F299" s="138" t="e">
        <f>IF(Outline!$C$14&gt;0,Gradesheet!#REF!,"NA")</f>
        <v>#REF!</v>
      </c>
      <c r="G299" s="138" t="e">
        <f>IF(Outline!$C$14&gt;0,Gradesheet!#REF!,Gradesheet!#REF!)</f>
        <v>#REF!</v>
      </c>
      <c r="H299" s="139" t="e">
        <f t="shared" si="5"/>
        <v>#REF!</v>
      </c>
    </row>
    <row r="300" spans="2:8" hidden="1" x14ac:dyDescent="0.25">
      <c r="B300" s="90" t="e">
        <f>Gradesheet!#REF!</f>
        <v>#REF!</v>
      </c>
      <c r="C300" s="91" t="e">
        <f>(Gradesheet!#REF!)</f>
        <v>#REF!</v>
      </c>
      <c r="D300" s="92" t="e">
        <f>IF(Outline!$C$14&gt;0,Gradesheet!#REF!,Gradesheet!#REF!)</f>
        <v>#REF!</v>
      </c>
      <c r="E300" s="138" t="e">
        <f>IF(Outline!$C$14&gt;0,Gradesheet!#REF!,Gradesheet!#REF!)</f>
        <v>#REF!</v>
      </c>
      <c r="F300" s="138" t="e">
        <f>IF(Outline!$C$14&gt;0,Gradesheet!#REF!,"NA")</f>
        <v>#REF!</v>
      </c>
      <c r="G300" s="138" t="e">
        <f>IF(Outline!$C$14&gt;0,Gradesheet!#REF!,Gradesheet!#REF!)</f>
        <v>#REF!</v>
      </c>
      <c r="H300" s="139" t="e">
        <f t="shared" si="5"/>
        <v>#REF!</v>
      </c>
    </row>
    <row r="301" spans="2:8" hidden="1" x14ac:dyDescent="0.25">
      <c r="B301" s="90" t="e">
        <f>Gradesheet!#REF!</f>
        <v>#REF!</v>
      </c>
      <c r="C301" s="91" t="e">
        <f>(Gradesheet!#REF!)</f>
        <v>#REF!</v>
      </c>
      <c r="D301" s="92" t="e">
        <f>IF(Outline!$C$14&gt;0,Gradesheet!#REF!,Gradesheet!#REF!)</f>
        <v>#REF!</v>
      </c>
      <c r="E301" s="138" t="e">
        <f>IF(Outline!$C$14&gt;0,Gradesheet!#REF!,Gradesheet!#REF!)</f>
        <v>#REF!</v>
      </c>
      <c r="F301" s="138" t="e">
        <f>IF(Outline!$C$14&gt;0,Gradesheet!#REF!,"NA")</f>
        <v>#REF!</v>
      </c>
      <c r="G301" s="138" t="e">
        <f>IF(Outline!$C$14&gt;0,Gradesheet!#REF!,Gradesheet!#REF!)</f>
        <v>#REF!</v>
      </c>
      <c r="H301" s="139" t="e">
        <f t="shared" si="5"/>
        <v>#REF!</v>
      </c>
    </row>
    <row r="302" spans="2:8" hidden="1" x14ac:dyDescent="0.25">
      <c r="B302" s="90" t="e">
        <f>Gradesheet!#REF!</f>
        <v>#REF!</v>
      </c>
      <c r="C302" s="91" t="e">
        <f>(Gradesheet!#REF!)</f>
        <v>#REF!</v>
      </c>
      <c r="D302" s="92" t="e">
        <f>IF(Outline!$C$14&gt;0,Gradesheet!#REF!,Gradesheet!#REF!)</f>
        <v>#REF!</v>
      </c>
      <c r="E302" s="138" t="e">
        <f>IF(Outline!$C$14&gt;0,Gradesheet!#REF!,Gradesheet!#REF!)</f>
        <v>#REF!</v>
      </c>
      <c r="F302" s="138" t="e">
        <f>IF(Outline!$C$14&gt;0,Gradesheet!#REF!,"NA")</f>
        <v>#REF!</v>
      </c>
      <c r="G302" s="138" t="e">
        <f>IF(Outline!$C$14&gt;0,Gradesheet!#REF!,Gradesheet!#REF!)</f>
        <v>#REF!</v>
      </c>
      <c r="H302" s="139" t="e">
        <f t="shared" si="5"/>
        <v>#REF!</v>
      </c>
    </row>
    <row r="303" spans="2:8" hidden="1" x14ac:dyDescent="0.25">
      <c r="B303" s="90" t="e">
        <f>Gradesheet!#REF!</f>
        <v>#REF!</v>
      </c>
      <c r="C303" s="91" t="e">
        <f>(Gradesheet!#REF!)</f>
        <v>#REF!</v>
      </c>
      <c r="D303" s="92" t="e">
        <f>IF(Outline!$C$14&gt;0,Gradesheet!#REF!,Gradesheet!#REF!)</f>
        <v>#REF!</v>
      </c>
      <c r="E303" s="138" t="e">
        <f>IF(Outline!$C$14&gt;0,Gradesheet!#REF!,Gradesheet!#REF!)</f>
        <v>#REF!</v>
      </c>
      <c r="F303" s="138" t="e">
        <f>IF(Outline!$C$14&gt;0,Gradesheet!#REF!,"NA")</f>
        <v>#REF!</v>
      </c>
      <c r="G303" s="138" t="e">
        <f>IF(Outline!$C$14&gt;0,Gradesheet!#REF!,Gradesheet!#REF!)</f>
        <v>#REF!</v>
      </c>
      <c r="H303" s="139" t="e">
        <f t="shared" si="5"/>
        <v>#REF!</v>
      </c>
    </row>
    <row r="304" spans="2:8" hidden="1" x14ac:dyDescent="0.25">
      <c r="B304" s="90" t="e">
        <f>Gradesheet!#REF!</f>
        <v>#REF!</v>
      </c>
      <c r="C304" s="91" t="e">
        <f>(Gradesheet!#REF!)</f>
        <v>#REF!</v>
      </c>
      <c r="D304" s="92" t="e">
        <f>IF(Outline!$C$14&gt;0,Gradesheet!#REF!,Gradesheet!#REF!)</f>
        <v>#REF!</v>
      </c>
      <c r="E304" s="138" t="e">
        <f>IF(Outline!$C$14&gt;0,Gradesheet!#REF!,Gradesheet!#REF!)</f>
        <v>#REF!</v>
      </c>
      <c r="F304" s="138" t="e">
        <f>IF(Outline!$C$14&gt;0,Gradesheet!#REF!,"NA")</f>
        <v>#REF!</v>
      </c>
      <c r="G304" s="138" t="e">
        <f>IF(Outline!$C$14&gt;0,Gradesheet!#REF!,Gradesheet!#REF!)</f>
        <v>#REF!</v>
      </c>
      <c r="H304" s="139" t="e">
        <f t="shared" si="5"/>
        <v>#REF!</v>
      </c>
    </row>
    <row r="305" spans="2:8" hidden="1" x14ac:dyDescent="0.25">
      <c r="B305" s="90" t="e">
        <f>Gradesheet!#REF!</f>
        <v>#REF!</v>
      </c>
      <c r="C305" s="91" t="e">
        <f>(Gradesheet!#REF!)</f>
        <v>#REF!</v>
      </c>
      <c r="D305" s="92" t="e">
        <f>IF(Outline!$C$14&gt;0,Gradesheet!#REF!,Gradesheet!#REF!)</f>
        <v>#REF!</v>
      </c>
      <c r="E305" s="138" t="e">
        <f>IF(Outline!$C$14&gt;0,Gradesheet!#REF!,Gradesheet!#REF!)</f>
        <v>#REF!</v>
      </c>
      <c r="F305" s="138" t="e">
        <f>IF(Outline!$C$14&gt;0,Gradesheet!#REF!,"NA")</f>
        <v>#REF!</v>
      </c>
      <c r="G305" s="138" t="e">
        <f>IF(Outline!$C$14&gt;0,Gradesheet!#REF!,Gradesheet!#REF!)</f>
        <v>#REF!</v>
      </c>
      <c r="H305" s="139" t="e">
        <f t="shared" si="5"/>
        <v>#REF!</v>
      </c>
    </row>
    <row r="306" spans="2:8" hidden="1" x14ac:dyDescent="0.25">
      <c r="B306" s="90" t="e">
        <f>Gradesheet!#REF!</f>
        <v>#REF!</v>
      </c>
      <c r="C306" s="91" t="e">
        <f>(Gradesheet!#REF!)</f>
        <v>#REF!</v>
      </c>
      <c r="D306" s="92" t="e">
        <f>IF(Outline!$C$14&gt;0,Gradesheet!#REF!,Gradesheet!#REF!)</f>
        <v>#REF!</v>
      </c>
      <c r="E306" s="138" t="e">
        <f>IF(Outline!$C$14&gt;0,Gradesheet!#REF!,Gradesheet!#REF!)</f>
        <v>#REF!</v>
      </c>
      <c r="F306" s="138" t="e">
        <f>IF(Outline!$C$14&gt;0,Gradesheet!#REF!,"NA")</f>
        <v>#REF!</v>
      </c>
      <c r="G306" s="138" t="e">
        <f>IF(Outline!$C$14&gt;0,Gradesheet!#REF!,Gradesheet!#REF!)</f>
        <v>#REF!</v>
      </c>
      <c r="H306" s="139" t="e">
        <f t="shared" si="5"/>
        <v>#REF!</v>
      </c>
    </row>
    <row r="307" spans="2:8" hidden="1" x14ac:dyDescent="0.25">
      <c r="B307" s="90" t="e">
        <f>Gradesheet!#REF!</f>
        <v>#REF!</v>
      </c>
      <c r="C307" s="91" t="e">
        <f>(Gradesheet!#REF!)</f>
        <v>#REF!</v>
      </c>
      <c r="D307" s="92" t="e">
        <f>IF(Outline!$C$14&gt;0,Gradesheet!#REF!,Gradesheet!#REF!)</f>
        <v>#REF!</v>
      </c>
      <c r="E307" s="138" t="e">
        <f>IF(Outline!$C$14&gt;0,Gradesheet!#REF!,Gradesheet!#REF!)</f>
        <v>#REF!</v>
      </c>
      <c r="F307" s="138" t="e">
        <f>IF(Outline!$C$14&gt;0,Gradesheet!#REF!,"NA")</f>
        <v>#REF!</v>
      </c>
      <c r="G307" s="138" t="e">
        <f>IF(Outline!$C$14&gt;0,Gradesheet!#REF!,Gradesheet!#REF!)</f>
        <v>#REF!</v>
      </c>
      <c r="H307" s="139" t="e">
        <f t="shared" si="5"/>
        <v>#REF!</v>
      </c>
    </row>
    <row r="308" spans="2:8" hidden="1" x14ac:dyDescent="0.25">
      <c r="B308" s="90" t="e">
        <f>Gradesheet!#REF!</f>
        <v>#REF!</v>
      </c>
      <c r="C308" s="91" t="e">
        <f>(Gradesheet!#REF!)</f>
        <v>#REF!</v>
      </c>
      <c r="D308" s="92" t="e">
        <f>IF(Outline!$C$14&gt;0,Gradesheet!#REF!,Gradesheet!#REF!)</f>
        <v>#REF!</v>
      </c>
      <c r="E308" s="138" t="e">
        <f>IF(Outline!$C$14&gt;0,Gradesheet!#REF!,Gradesheet!#REF!)</f>
        <v>#REF!</v>
      </c>
      <c r="F308" s="138" t="e">
        <f>IF(Outline!$C$14&gt;0,Gradesheet!#REF!,"NA")</f>
        <v>#REF!</v>
      </c>
      <c r="G308" s="138" t="e">
        <f>IF(Outline!$C$14&gt;0,Gradesheet!#REF!,Gradesheet!#REF!)</f>
        <v>#REF!</v>
      </c>
      <c r="H308" s="139" t="e">
        <f t="shared" si="5"/>
        <v>#REF!</v>
      </c>
    </row>
    <row r="309" spans="2:8" hidden="1" x14ac:dyDescent="0.25">
      <c r="B309" s="90" t="e">
        <f>Gradesheet!#REF!</f>
        <v>#REF!</v>
      </c>
      <c r="C309" s="91" t="e">
        <f>(Gradesheet!#REF!)</f>
        <v>#REF!</v>
      </c>
      <c r="D309" s="92" t="e">
        <f>IF(Outline!$C$14&gt;0,Gradesheet!#REF!,Gradesheet!#REF!)</f>
        <v>#REF!</v>
      </c>
      <c r="E309" s="138" t="e">
        <f>IF(Outline!$C$14&gt;0,Gradesheet!#REF!,Gradesheet!#REF!)</f>
        <v>#REF!</v>
      </c>
      <c r="F309" s="138" t="e">
        <f>IF(Outline!$C$14&gt;0,Gradesheet!#REF!,"NA")</f>
        <v>#REF!</v>
      </c>
      <c r="G309" s="138" t="e">
        <f>IF(Outline!$C$14&gt;0,Gradesheet!#REF!,Gradesheet!#REF!)</f>
        <v>#REF!</v>
      </c>
      <c r="H309" s="139" t="e">
        <f t="shared" si="5"/>
        <v>#REF!</v>
      </c>
    </row>
    <row r="310" spans="2:8" hidden="1" x14ac:dyDescent="0.25">
      <c r="B310" s="90" t="e">
        <f>Gradesheet!#REF!</f>
        <v>#REF!</v>
      </c>
      <c r="C310" s="91" t="e">
        <f>(Gradesheet!#REF!)</f>
        <v>#REF!</v>
      </c>
      <c r="D310" s="92" t="e">
        <f>IF(Outline!$C$14&gt;0,Gradesheet!#REF!,Gradesheet!#REF!)</f>
        <v>#REF!</v>
      </c>
      <c r="E310" s="138" t="e">
        <f>IF(Outline!$C$14&gt;0,Gradesheet!#REF!,Gradesheet!#REF!)</f>
        <v>#REF!</v>
      </c>
      <c r="F310" s="138" t="e">
        <f>IF(Outline!$C$14&gt;0,Gradesheet!#REF!,"NA")</f>
        <v>#REF!</v>
      </c>
      <c r="G310" s="138" t="e">
        <f>IF(Outline!$C$14&gt;0,Gradesheet!#REF!,Gradesheet!#REF!)</f>
        <v>#REF!</v>
      </c>
      <c r="H310" s="139" t="e">
        <f t="shared" si="5"/>
        <v>#REF!</v>
      </c>
    </row>
    <row r="311" spans="2:8" hidden="1" x14ac:dyDescent="0.25">
      <c r="B311" s="90" t="e">
        <f>Gradesheet!#REF!</f>
        <v>#REF!</v>
      </c>
      <c r="C311" s="91" t="e">
        <f>(Gradesheet!#REF!)</f>
        <v>#REF!</v>
      </c>
      <c r="D311" s="92" t="e">
        <f>IF(Outline!$C$14&gt;0,Gradesheet!#REF!,Gradesheet!#REF!)</f>
        <v>#REF!</v>
      </c>
      <c r="E311" s="138" t="e">
        <f>IF(Outline!$C$14&gt;0,Gradesheet!#REF!,Gradesheet!#REF!)</f>
        <v>#REF!</v>
      </c>
      <c r="F311" s="138" t="e">
        <f>IF(Outline!$C$14&gt;0,Gradesheet!#REF!,"NA")</f>
        <v>#REF!</v>
      </c>
      <c r="G311" s="138" t="e">
        <f>IF(Outline!$C$14&gt;0,Gradesheet!#REF!,Gradesheet!#REF!)</f>
        <v>#REF!</v>
      </c>
      <c r="H311" s="139" t="e">
        <f t="shared" si="5"/>
        <v>#REF!</v>
      </c>
    </row>
    <row r="312" spans="2:8" hidden="1" x14ac:dyDescent="0.25">
      <c r="B312" s="90" t="e">
        <f>Gradesheet!#REF!</f>
        <v>#REF!</v>
      </c>
      <c r="C312" s="91" t="e">
        <f>(Gradesheet!#REF!)</f>
        <v>#REF!</v>
      </c>
      <c r="D312" s="92" t="e">
        <f>IF(Outline!$C$14&gt;0,Gradesheet!#REF!,Gradesheet!#REF!)</f>
        <v>#REF!</v>
      </c>
      <c r="E312" s="138" t="e">
        <f>IF(Outline!$C$14&gt;0,Gradesheet!#REF!,Gradesheet!#REF!)</f>
        <v>#REF!</v>
      </c>
      <c r="F312" s="138" t="e">
        <f>IF(Outline!$C$14&gt;0,Gradesheet!#REF!,"NA")</f>
        <v>#REF!</v>
      </c>
      <c r="G312" s="138" t="e">
        <f>IF(Outline!$C$14&gt;0,Gradesheet!#REF!,Gradesheet!#REF!)</f>
        <v>#REF!</v>
      </c>
      <c r="H312" s="139" t="e">
        <f t="shared" si="5"/>
        <v>#REF!</v>
      </c>
    </row>
    <row r="313" spans="2:8" hidden="1" x14ac:dyDescent="0.25">
      <c r="B313" s="90" t="e">
        <f>Gradesheet!#REF!</f>
        <v>#REF!</v>
      </c>
      <c r="C313" s="91" t="e">
        <f>(Gradesheet!#REF!)</f>
        <v>#REF!</v>
      </c>
      <c r="D313" s="92" t="e">
        <f>IF(Outline!$C$14&gt;0,Gradesheet!#REF!,Gradesheet!#REF!)</f>
        <v>#REF!</v>
      </c>
      <c r="E313" s="138" t="e">
        <f>IF(Outline!$C$14&gt;0,Gradesheet!#REF!,Gradesheet!#REF!)</f>
        <v>#REF!</v>
      </c>
      <c r="F313" s="138" t="e">
        <f>IF(Outline!$C$14&gt;0,Gradesheet!#REF!,"NA")</f>
        <v>#REF!</v>
      </c>
      <c r="G313" s="138" t="e">
        <f>IF(Outline!$C$14&gt;0,Gradesheet!#REF!,Gradesheet!#REF!)</f>
        <v>#REF!</v>
      </c>
      <c r="H313" s="139" t="e">
        <f t="shared" si="5"/>
        <v>#REF!</v>
      </c>
    </row>
    <row r="314" spans="2:8" hidden="1" x14ac:dyDescent="0.25">
      <c r="B314" s="90" t="e">
        <f>Gradesheet!#REF!</f>
        <v>#REF!</v>
      </c>
      <c r="C314" s="91" t="e">
        <f>(Gradesheet!#REF!)</f>
        <v>#REF!</v>
      </c>
      <c r="D314" s="92" t="e">
        <f>IF(Outline!$C$14&gt;0,Gradesheet!#REF!,Gradesheet!#REF!)</f>
        <v>#REF!</v>
      </c>
      <c r="E314" s="138" t="e">
        <f>IF(Outline!$C$14&gt;0,Gradesheet!#REF!,Gradesheet!#REF!)</f>
        <v>#REF!</v>
      </c>
      <c r="F314" s="138" t="e">
        <f>IF(Outline!$C$14&gt;0,Gradesheet!#REF!,"NA")</f>
        <v>#REF!</v>
      </c>
      <c r="G314" s="138" t="e">
        <f>IF(Outline!$C$14&gt;0,Gradesheet!#REF!,Gradesheet!#REF!)</f>
        <v>#REF!</v>
      </c>
      <c r="H314" s="139" t="e">
        <f t="shared" si="5"/>
        <v>#REF!</v>
      </c>
    </row>
    <row r="315" spans="2:8" hidden="1" x14ac:dyDescent="0.25">
      <c r="B315" s="90" t="e">
        <f>Gradesheet!#REF!</f>
        <v>#REF!</v>
      </c>
      <c r="C315" s="91" t="e">
        <f>(Gradesheet!#REF!)</f>
        <v>#REF!</v>
      </c>
      <c r="D315" s="92" t="e">
        <f>IF(Outline!$C$14&gt;0,Gradesheet!#REF!,Gradesheet!#REF!)</f>
        <v>#REF!</v>
      </c>
      <c r="E315" s="138" t="e">
        <f>IF(Outline!$C$14&gt;0,Gradesheet!#REF!,Gradesheet!#REF!)</f>
        <v>#REF!</v>
      </c>
      <c r="F315" s="138" t="e">
        <f>IF(Outline!$C$14&gt;0,Gradesheet!#REF!,"NA")</f>
        <v>#REF!</v>
      </c>
      <c r="G315" s="138" t="e">
        <f>IF(Outline!$C$14&gt;0,Gradesheet!#REF!,Gradesheet!#REF!)</f>
        <v>#REF!</v>
      </c>
      <c r="H315" s="139" t="e">
        <f t="shared" si="5"/>
        <v>#REF!</v>
      </c>
    </row>
    <row r="316" spans="2:8" hidden="1" x14ac:dyDescent="0.25">
      <c r="B316" s="90" t="e">
        <f>Gradesheet!#REF!</f>
        <v>#REF!</v>
      </c>
      <c r="C316" s="91" t="e">
        <f>(Gradesheet!#REF!)</f>
        <v>#REF!</v>
      </c>
      <c r="D316" s="92" t="e">
        <f>IF(Outline!$C$14&gt;0,Gradesheet!#REF!,Gradesheet!#REF!)</f>
        <v>#REF!</v>
      </c>
      <c r="E316" s="138" t="e">
        <f>IF(Outline!$C$14&gt;0,Gradesheet!#REF!,Gradesheet!#REF!)</f>
        <v>#REF!</v>
      </c>
      <c r="F316" s="138" t="e">
        <f>IF(Outline!$C$14&gt;0,Gradesheet!#REF!,"NA")</f>
        <v>#REF!</v>
      </c>
      <c r="G316" s="138" t="e">
        <f>IF(Outline!$C$14&gt;0,Gradesheet!#REF!,Gradesheet!#REF!)</f>
        <v>#REF!</v>
      </c>
      <c r="H316" s="139" t="e">
        <f t="shared" si="5"/>
        <v>#REF!</v>
      </c>
    </row>
    <row r="317" spans="2:8" hidden="1" x14ac:dyDescent="0.25">
      <c r="B317" s="90" t="e">
        <f>Gradesheet!#REF!</f>
        <v>#REF!</v>
      </c>
      <c r="C317" s="91" t="e">
        <f>(Gradesheet!#REF!)</f>
        <v>#REF!</v>
      </c>
      <c r="D317" s="92" t="e">
        <f>IF(Outline!$C$14&gt;0,Gradesheet!#REF!,Gradesheet!#REF!)</f>
        <v>#REF!</v>
      </c>
      <c r="E317" s="138" t="e">
        <f>IF(Outline!$C$14&gt;0,Gradesheet!#REF!,Gradesheet!#REF!)</f>
        <v>#REF!</v>
      </c>
      <c r="F317" s="138" t="e">
        <f>IF(Outline!$C$14&gt;0,Gradesheet!#REF!,"NA")</f>
        <v>#REF!</v>
      </c>
      <c r="G317" s="138" t="e">
        <f>IF(Outline!$C$14&gt;0,Gradesheet!#REF!,Gradesheet!#REF!)</f>
        <v>#REF!</v>
      </c>
      <c r="H317" s="139" t="e">
        <f t="shared" si="5"/>
        <v>#REF!</v>
      </c>
    </row>
    <row r="318" spans="2:8" hidden="1" x14ac:dyDescent="0.25">
      <c r="B318" s="90" t="e">
        <f>Gradesheet!#REF!</f>
        <v>#REF!</v>
      </c>
      <c r="C318" s="91" t="e">
        <f>(Gradesheet!#REF!)</f>
        <v>#REF!</v>
      </c>
      <c r="D318" s="92" t="e">
        <f>IF(Outline!$C$14&gt;0,Gradesheet!#REF!,Gradesheet!#REF!)</f>
        <v>#REF!</v>
      </c>
      <c r="E318" s="138" t="e">
        <f>IF(Outline!$C$14&gt;0,Gradesheet!#REF!,Gradesheet!#REF!)</f>
        <v>#REF!</v>
      </c>
      <c r="F318" s="138" t="e">
        <f>IF(Outline!$C$14&gt;0,Gradesheet!#REF!,"NA")</f>
        <v>#REF!</v>
      </c>
      <c r="G318" s="138" t="e">
        <f>IF(Outline!$C$14&gt;0,Gradesheet!#REF!,Gradesheet!#REF!)</f>
        <v>#REF!</v>
      </c>
      <c r="H318" s="139" t="e">
        <f t="shared" si="5"/>
        <v>#REF!</v>
      </c>
    </row>
    <row r="319" spans="2:8" hidden="1" x14ac:dyDescent="0.25">
      <c r="B319" s="90" t="e">
        <f>Gradesheet!#REF!</f>
        <v>#REF!</v>
      </c>
      <c r="C319" s="91" t="e">
        <f>(Gradesheet!#REF!)</f>
        <v>#REF!</v>
      </c>
      <c r="D319" s="92" t="e">
        <f>IF(Outline!$C$14&gt;0,Gradesheet!#REF!,Gradesheet!#REF!)</f>
        <v>#REF!</v>
      </c>
      <c r="E319" s="138" t="e">
        <f>IF(Outline!$C$14&gt;0,Gradesheet!#REF!,Gradesheet!#REF!)</f>
        <v>#REF!</v>
      </c>
      <c r="F319" s="138" t="e">
        <f>IF(Outline!$C$14&gt;0,Gradesheet!#REF!,"NA")</f>
        <v>#REF!</v>
      </c>
      <c r="G319" s="138" t="e">
        <f>IF(Outline!$C$14&gt;0,Gradesheet!#REF!,Gradesheet!#REF!)</f>
        <v>#REF!</v>
      </c>
      <c r="H319" s="139" t="e">
        <f t="shared" si="5"/>
        <v>#REF!</v>
      </c>
    </row>
    <row r="320" spans="2:8" hidden="1" x14ac:dyDescent="0.25">
      <c r="B320" s="90" t="e">
        <f>Gradesheet!#REF!</f>
        <v>#REF!</v>
      </c>
      <c r="C320" s="91" t="e">
        <f>(Gradesheet!#REF!)</f>
        <v>#REF!</v>
      </c>
      <c r="D320" s="92" t="e">
        <f>IF(Outline!$C$14&gt;0,Gradesheet!#REF!,Gradesheet!#REF!)</f>
        <v>#REF!</v>
      </c>
      <c r="E320" s="138" t="e">
        <f>IF(Outline!$C$14&gt;0,Gradesheet!#REF!,Gradesheet!#REF!)</f>
        <v>#REF!</v>
      </c>
      <c r="F320" s="138" t="e">
        <f>IF(Outline!$C$14&gt;0,Gradesheet!#REF!,"NA")</f>
        <v>#REF!</v>
      </c>
      <c r="G320" s="138" t="e">
        <f>IF(Outline!$C$14&gt;0,Gradesheet!#REF!,Gradesheet!#REF!)</f>
        <v>#REF!</v>
      </c>
      <c r="H320" s="139" t="e">
        <f t="shared" si="5"/>
        <v>#REF!</v>
      </c>
    </row>
    <row r="321" spans="2:8" hidden="1" x14ac:dyDescent="0.25">
      <c r="B321" s="90" t="e">
        <f>Gradesheet!#REF!</f>
        <v>#REF!</v>
      </c>
      <c r="C321" s="91" t="e">
        <f>(Gradesheet!#REF!)</f>
        <v>#REF!</v>
      </c>
      <c r="D321" s="92" t="e">
        <f>IF(Outline!$C$14&gt;0,Gradesheet!#REF!,Gradesheet!#REF!)</f>
        <v>#REF!</v>
      </c>
      <c r="E321" s="138" t="e">
        <f>IF(Outline!$C$14&gt;0,Gradesheet!#REF!,Gradesheet!#REF!)</f>
        <v>#REF!</v>
      </c>
      <c r="F321" s="138" t="e">
        <f>IF(Outline!$C$14&gt;0,Gradesheet!#REF!,"NA")</f>
        <v>#REF!</v>
      </c>
      <c r="G321" s="138" t="e">
        <f>IF(Outline!$C$14&gt;0,Gradesheet!#REF!,Gradesheet!#REF!)</f>
        <v>#REF!</v>
      </c>
      <c r="H321" s="139" t="e">
        <f t="shared" si="5"/>
        <v>#REF!</v>
      </c>
    </row>
    <row r="322" spans="2:8" hidden="1" x14ac:dyDescent="0.25">
      <c r="B322" s="90" t="e">
        <f>Gradesheet!#REF!</f>
        <v>#REF!</v>
      </c>
      <c r="C322" s="91" t="e">
        <f>(Gradesheet!#REF!)</f>
        <v>#REF!</v>
      </c>
      <c r="D322" s="92" t="e">
        <f>IF(Outline!$C$14&gt;0,Gradesheet!#REF!,Gradesheet!#REF!)</f>
        <v>#REF!</v>
      </c>
      <c r="E322" s="138" t="e">
        <f>IF(Outline!$C$14&gt;0,Gradesheet!#REF!,Gradesheet!#REF!)</f>
        <v>#REF!</v>
      </c>
      <c r="F322" s="138" t="e">
        <f>IF(Outline!$C$14&gt;0,Gradesheet!#REF!,"NA")</f>
        <v>#REF!</v>
      </c>
      <c r="G322" s="138" t="e">
        <f>IF(Outline!$C$14&gt;0,Gradesheet!#REF!,Gradesheet!#REF!)</f>
        <v>#REF!</v>
      </c>
      <c r="H322" s="139" t="e">
        <f t="shared" si="5"/>
        <v>#REF!</v>
      </c>
    </row>
    <row r="323" spans="2:8" hidden="1" x14ac:dyDescent="0.25">
      <c r="B323" s="90" t="e">
        <f>Gradesheet!#REF!</f>
        <v>#REF!</v>
      </c>
      <c r="C323" s="91" t="e">
        <f>(Gradesheet!#REF!)</f>
        <v>#REF!</v>
      </c>
      <c r="D323" s="92" t="e">
        <f>IF(Outline!$C$14&gt;0,Gradesheet!#REF!,Gradesheet!#REF!)</f>
        <v>#REF!</v>
      </c>
      <c r="E323" s="138" t="e">
        <f>IF(Outline!$C$14&gt;0,Gradesheet!#REF!,Gradesheet!#REF!)</f>
        <v>#REF!</v>
      </c>
      <c r="F323" s="138" t="e">
        <f>IF(Outline!$C$14&gt;0,Gradesheet!#REF!,"NA")</f>
        <v>#REF!</v>
      </c>
      <c r="G323" s="138" t="e">
        <f>IF(Outline!$C$14&gt;0,Gradesheet!#REF!,Gradesheet!#REF!)</f>
        <v>#REF!</v>
      </c>
      <c r="H323" s="139" t="e">
        <f t="shared" si="5"/>
        <v>#REF!</v>
      </c>
    </row>
    <row r="324" spans="2:8" hidden="1" x14ac:dyDescent="0.25">
      <c r="B324" s="90" t="e">
        <f>Gradesheet!#REF!</f>
        <v>#REF!</v>
      </c>
      <c r="C324" s="91" t="e">
        <f>(Gradesheet!#REF!)</f>
        <v>#REF!</v>
      </c>
      <c r="D324" s="92" t="e">
        <f>IF(Outline!$C$14&gt;0,Gradesheet!#REF!,Gradesheet!#REF!)</f>
        <v>#REF!</v>
      </c>
      <c r="E324" s="138" t="e">
        <f>IF(Outline!$C$14&gt;0,Gradesheet!#REF!,Gradesheet!#REF!)</f>
        <v>#REF!</v>
      </c>
      <c r="F324" s="138" t="e">
        <f>IF(Outline!$C$14&gt;0,Gradesheet!#REF!,"NA")</f>
        <v>#REF!</v>
      </c>
      <c r="G324" s="138" t="e">
        <f>IF(Outline!$C$14&gt;0,Gradesheet!#REF!,Gradesheet!#REF!)</f>
        <v>#REF!</v>
      </c>
      <c r="H324" s="139" t="e">
        <f t="shared" si="5"/>
        <v>#REF!</v>
      </c>
    </row>
    <row r="325" spans="2:8" hidden="1" x14ac:dyDescent="0.25">
      <c r="B325" s="90" t="e">
        <f>Gradesheet!#REF!</f>
        <v>#REF!</v>
      </c>
      <c r="C325" s="91" t="e">
        <f>(Gradesheet!#REF!)</f>
        <v>#REF!</v>
      </c>
      <c r="D325" s="92" t="e">
        <f>IF(Outline!$C$14&gt;0,Gradesheet!#REF!,Gradesheet!#REF!)</f>
        <v>#REF!</v>
      </c>
      <c r="E325" s="138" t="e">
        <f>IF(Outline!$C$14&gt;0,Gradesheet!#REF!,Gradesheet!#REF!)</f>
        <v>#REF!</v>
      </c>
      <c r="F325" s="138" t="e">
        <f>IF(Outline!$C$14&gt;0,Gradesheet!#REF!,"NA")</f>
        <v>#REF!</v>
      </c>
      <c r="G325" s="138" t="e">
        <f>IF(Outline!$C$14&gt;0,Gradesheet!#REF!,Gradesheet!#REF!)</f>
        <v>#REF!</v>
      </c>
      <c r="H325" s="139" t="e">
        <f t="shared" si="5"/>
        <v>#REF!</v>
      </c>
    </row>
    <row r="326" spans="2:8" hidden="1" x14ac:dyDescent="0.25">
      <c r="B326" s="90" t="e">
        <f>Gradesheet!#REF!</f>
        <v>#REF!</v>
      </c>
      <c r="C326" s="91" t="e">
        <f>(Gradesheet!#REF!)</f>
        <v>#REF!</v>
      </c>
      <c r="D326" s="92" t="e">
        <f>IF(Outline!$C$14&gt;0,Gradesheet!#REF!,Gradesheet!#REF!)</f>
        <v>#REF!</v>
      </c>
      <c r="E326" s="138" t="e">
        <f>IF(Outline!$C$14&gt;0,Gradesheet!#REF!,Gradesheet!#REF!)</f>
        <v>#REF!</v>
      </c>
      <c r="F326" s="138" t="e">
        <f>IF(Outline!$C$14&gt;0,Gradesheet!#REF!,"NA")</f>
        <v>#REF!</v>
      </c>
      <c r="G326" s="138" t="e">
        <f>IF(Outline!$C$14&gt;0,Gradesheet!#REF!,Gradesheet!#REF!)</f>
        <v>#REF!</v>
      </c>
      <c r="H326" s="139" t="e">
        <f t="shared" si="5"/>
        <v>#REF!</v>
      </c>
    </row>
    <row r="327" spans="2:8" hidden="1" x14ac:dyDescent="0.25">
      <c r="B327" s="90" t="e">
        <f>Gradesheet!#REF!</f>
        <v>#REF!</v>
      </c>
      <c r="C327" s="91" t="e">
        <f>(Gradesheet!#REF!)</f>
        <v>#REF!</v>
      </c>
      <c r="D327" s="92" t="e">
        <f>IF(Outline!$C$14&gt;0,Gradesheet!#REF!,Gradesheet!#REF!)</f>
        <v>#REF!</v>
      </c>
      <c r="E327" s="138" t="e">
        <f>IF(Outline!$C$14&gt;0,Gradesheet!#REF!,Gradesheet!#REF!)</f>
        <v>#REF!</v>
      </c>
      <c r="F327" s="138" t="e">
        <f>IF(Outline!$C$14&gt;0,Gradesheet!#REF!,"NA")</f>
        <v>#REF!</v>
      </c>
      <c r="G327" s="138" t="e">
        <f>IF(Outline!$C$14&gt;0,Gradesheet!#REF!,Gradesheet!#REF!)</f>
        <v>#REF!</v>
      </c>
      <c r="H327" s="139" t="e">
        <f t="shared" ref="H327:H390" si="6">SUM(D327:G327)</f>
        <v>#REF!</v>
      </c>
    </row>
    <row r="328" spans="2:8" hidden="1" x14ac:dyDescent="0.25">
      <c r="B328" s="90" t="e">
        <f>Gradesheet!#REF!</f>
        <v>#REF!</v>
      </c>
      <c r="C328" s="91" t="e">
        <f>(Gradesheet!#REF!)</f>
        <v>#REF!</v>
      </c>
      <c r="D328" s="92" t="e">
        <f>IF(Outline!$C$14&gt;0,Gradesheet!#REF!,Gradesheet!#REF!)</f>
        <v>#REF!</v>
      </c>
      <c r="E328" s="138" t="e">
        <f>IF(Outline!$C$14&gt;0,Gradesheet!#REF!,Gradesheet!#REF!)</f>
        <v>#REF!</v>
      </c>
      <c r="F328" s="138" t="e">
        <f>IF(Outline!$C$14&gt;0,Gradesheet!#REF!,"NA")</f>
        <v>#REF!</v>
      </c>
      <c r="G328" s="138" t="e">
        <f>IF(Outline!$C$14&gt;0,Gradesheet!#REF!,Gradesheet!#REF!)</f>
        <v>#REF!</v>
      </c>
      <c r="H328" s="139" t="e">
        <f t="shared" si="6"/>
        <v>#REF!</v>
      </c>
    </row>
    <row r="329" spans="2:8" hidden="1" x14ac:dyDescent="0.25">
      <c r="B329" s="90" t="e">
        <f>Gradesheet!#REF!</f>
        <v>#REF!</v>
      </c>
      <c r="C329" s="91" t="e">
        <f>(Gradesheet!#REF!)</f>
        <v>#REF!</v>
      </c>
      <c r="D329" s="92" t="e">
        <f>IF(Outline!$C$14&gt;0,Gradesheet!#REF!,Gradesheet!#REF!)</f>
        <v>#REF!</v>
      </c>
      <c r="E329" s="138" t="e">
        <f>IF(Outline!$C$14&gt;0,Gradesheet!#REF!,Gradesheet!#REF!)</f>
        <v>#REF!</v>
      </c>
      <c r="F329" s="138" t="e">
        <f>IF(Outline!$C$14&gt;0,Gradesheet!#REF!,"NA")</f>
        <v>#REF!</v>
      </c>
      <c r="G329" s="138" t="e">
        <f>IF(Outline!$C$14&gt;0,Gradesheet!#REF!,Gradesheet!#REF!)</f>
        <v>#REF!</v>
      </c>
      <c r="H329" s="139" t="e">
        <f t="shared" si="6"/>
        <v>#REF!</v>
      </c>
    </row>
    <row r="330" spans="2:8" hidden="1" x14ac:dyDescent="0.25">
      <c r="B330" s="90" t="e">
        <f>Gradesheet!#REF!</f>
        <v>#REF!</v>
      </c>
      <c r="C330" s="91" t="e">
        <f>(Gradesheet!#REF!)</f>
        <v>#REF!</v>
      </c>
      <c r="D330" s="92" t="e">
        <f>IF(Outline!$C$14&gt;0,Gradesheet!#REF!,Gradesheet!#REF!)</f>
        <v>#REF!</v>
      </c>
      <c r="E330" s="138" t="e">
        <f>IF(Outline!$C$14&gt;0,Gradesheet!#REF!,Gradesheet!#REF!)</f>
        <v>#REF!</v>
      </c>
      <c r="F330" s="138" t="e">
        <f>IF(Outline!$C$14&gt;0,Gradesheet!#REF!,"NA")</f>
        <v>#REF!</v>
      </c>
      <c r="G330" s="138" t="e">
        <f>IF(Outline!$C$14&gt;0,Gradesheet!#REF!,Gradesheet!#REF!)</f>
        <v>#REF!</v>
      </c>
      <c r="H330" s="139" t="e">
        <f t="shared" si="6"/>
        <v>#REF!</v>
      </c>
    </row>
    <row r="331" spans="2:8" hidden="1" x14ac:dyDescent="0.25">
      <c r="B331" s="90" t="e">
        <f>Gradesheet!#REF!</f>
        <v>#REF!</v>
      </c>
      <c r="C331" s="91" t="e">
        <f>(Gradesheet!#REF!)</f>
        <v>#REF!</v>
      </c>
      <c r="D331" s="92" t="e">
        <f>IF(Outline!$C$14&gt;0,Gradesheet!#REF!,Gradesheet!#REF!)</f>
        <v>#REF!</v>
      </c>
      <c r="E331" s="138" t="e">
        <f>IF(Outline!$C$14&gt;0,Gradesheet!#REF!,Gradesheet!#REF!)</f>
        <v>#REF!</v>
      </c>
      <c r="F331" s="138" t="e">
        <f>IF(Outline!$C$14&gt;0,Gradesheet!#REF!,"NA")</f>
        <v>#REF!</v>
      </c>
      <c r="G331" s="138" t="e">
        <f>IF(Outline!$C$14&gt;0,Gradesheet!#REF!,Gradesheet!#REF!)</f>
        <v>#REF!</v>
      </c>
      <c r="H331" s="139" t="e">
        <f t="shared" si="6"/>
        <v>#REF!</v>
      </c>
    </row>
    <row r="332" spans="2:8" hidden="1" x14ac:dyDescent="0.25">
      <c r="B332" s="90" t="e">
        <f>Gradesheet!#REF!</f>
        <v>#REF!</v>
      </c>
      <c r="C332" s="91" t="e">
        <f>(Gradesheet!#REF!)</f>
        <v>#REF!</v>
      </c>
      <c r="D332" s="92" t="e">
        <f>IF(Outline!$C$14&gt;0,Gradesheet!#REF!,Gradesheet!#REF!)</f>
        <v>#REF!</v>
      </c>
      <c r="E332" s="138" t="e">
        <f>IF(Outline!$C$14&gt;0,Gradesheet!#REF!,Gradesheet!#REF!)</f>
        <v>#REF!</v>
      </c>
      <c r="F332" s="138" t="e">
        <f>IF(Outline!$C$14&gt;0,Gradesheet!#REF!,"NA")</f>
        <v>#REF!</v>
      </c>
      <c r="G332" s="138" t="e">
        <f>IF(Outline!$C$14&gt;0,Gradesheet!#REF!,Gradesheet!#REF!)</f>
        <v>#REF!</v>
      </c>
      <c r="H332" s="139" t="e">
        <f t="shared" si="6"/>
        <v>#REF!</v>
      </c>
    </row>
    <row r="333" spans="2:8" hidden="1" x14ac:dyDescent="0.25">
      <c r="B333" s="90" t="e">
        <f>Gradesheet!#REF!</f>
        <v>#REF!</v>
      </c>
      <c r="C333" s="91" t="e">
        <f>(Gradesheet!#REF!)</f>
        <v>#REF!</v>
      </c>
      <c r="D333" s="92" t="e">
        <f>IF(Outline!$C$14&gt;0,Gradesheet!#REF!,Gradesheet!#REF!)</f>
        <v>#REF!</v>
      </c>
      <c r="E333" s="138" t="e">
        <f>IF(Outline!$C$14&gt;0,Gradesheet!#REF!,Gradesheet!#REF!)</f>
        <v>#REF!</v>
      </c>
      <c r="F333" s="138" t="e">
        <f>IF(Outline!$C$14&gt;0,Gradesheet!#REF!,"NA")</f>
        <v>#REF!</v>
      </c>
      <c r="G333" s="138" t="e">
        <f>IF(Outline!$C$14&gt;0,Gradesheet!#REF!,Gradesheet!#REF!)</f>
        <v>#REF!</v>
      </c>
      <c r="H333" s="139" t="e">
        <f t="shared" si="6"/>
        <v>#REF!</v>
      </c>
    </row>
    <row r="334" spans="2:8" hidden="1" x14ac:dyDescent="0.25">
      <c r="B334" s="90" t="e">
        <f>Gradesheet!#REF!</f>
        <v>#REF!</v>
      </c>
      <c r="C334" s="91" t="e">
        <f>(Gradesheet!#REF!)</f>
        <v>#REF!</v>
      </c>
      <c r="D334" s="92" t="e">
        <f>IF(Outline!$C$14&gt;0,Gradesheet!#REF!,Gradesheet!#REF!)</f>
        <v>#REF!</v>
      </c>
      <c r="E334" s="138" t="e">
        <f>IF(Outline!$C$14&gt;0,Gradesheet!#REF!,Gradesheet!#REF!)</f>
        <v>#REF!</v>
      </c>
      <c r="F334" s="138" t="e">
        <f>IF(Outline!$C$14&gt;0,Gradesheet!#REF!,"NA")</f>
        <v>#REF!</v>
      </c>
      <c r="G334" s="138" t="e">
        <f>IF(Outline!$C$14&gt;0,Gradesheet!#REF!,Gradesheet!#REF!)</f>
        <v>#REF!</v>
      </c>
      <c r="H334" s="139" t="e">
        <f t="shared" si="6"/>
        <v>#REF!</v>
      </c>
    </row>
    <row r="335" spans="2:8" hidden="1" x14ac:dyDescent="0.25">
      <c r="B335" s="90" t="e">
        <f>Gradesheet!#REF!</f>
        <v>#REF!</v>
      </c>
      <c r="C335" s="91" t="e">
        <f>(Gradesheet!#REF!)</f>
        <v>#REF!</v>
      </c>
      <c r="D335" s="92" t="e">
        <f>IF(Outline!$C$14&gt;0,Gradesheet!#REF!,Gradesheet!#REF!)</f>
        <v>#REF!</v>
      </c>
      <c r="E335" s="138" t="e">
        <f>IF(Outline!$C$14&gt;0,Gradesheet!#REF!,Gradesheet!#REF!)</f>
        <v>#REF!</v>
      </c>
      <c r="F335" s="138" t="e">
        <f>IF(Outline!$C$14&gt;0,Gradesheet!#REF!,"NA")</f>
        <v>#REF!</v>
      </c>
      <c r="G335" s="138" t="e">
        <f>IF(Outline!$C$14&gt;0,Gradesheet!#REF!,Gradesheet!#REF!)</f>
        <v>#REF!</v>
      </c>
      <c r="H335" s="139" t="e">
        <f t="shared" si="6"/>
        <v>#REF!</v>
      </c>
    </row>
    <row r="336" spans="2:8" hidden="1" x14ac:dyDescent="0.25">
      <c r="B336" s="90" t="e">
        <f>Gradesheet!#REF!</f>
        <v>#REF!</v>
      </c>
      <c r="C336" s="91" t="e">
        <f>(Gradesheet!#REF!)</f>
        <v>#REF!</v>
      </c>
      <c r="D336" s="92" t="e">
        <f>IF(Outline!$C$14&gt;0,Gradesheet!#REF!,Gradesheet!#REF!)</f>
        <v>#REF!</v>
      </c>
      <c r="E336" s="138" t="e">
        <f>IF(Outline!$C$14&gt;0,Gradesheet!#REF!,Gradesheet!#REF!)</f>
        <v>#REF!</v>
      </c>
      <c r="F336" s="138" t="e">
        <f>IF(Outline!$C$14&gt;0,Gradesheet!#REF!,"NA")</f>
        <v>#REF!</v>
      </c>
      <c r="G336" s="138" t="e">
        <f>IF(Outline!$C$14&gt;0,Gradesheet!#REF!,Gradesheet!#REF!)</f>
        <v>#REF!</v>
      </c>
      <c r="H336" s="139" t="e">
        <f t="shared" si="6"/>
        <v>#REF!</v>
      </c>
    </row>
    <row r="337" spans="2:8" hidden="1" x14ac:dyDescent="0.25">
      <c r="B337" s="90" t="e">
        <f>Gradesheet!#REF!</f>
        <v>#REF!</v>
      </c>
      <c r="C337" s="91" t="e">
        <f>(Gradesheet!#REF!)</f>
        <v>#REF!</v>
      </c>
      <c r="D337" s="92" t="e">
        <f>IF(Outline!$C$14&gt;0,Gradesheet!#REF!,Gradesheet!#REF!)</f>
        <v>#REF!</v>
      </c>
      <c r="E337" s="138" t="e">
        <f>IF(Outline!$C$14&gt;0,Gradesheet!#REF!,Gradesheet!#REF!)</f>
        <v>#REF!</v>
      </c>
      <c r="F337" s="138" t="e">
        <f>IF(Outline!$C$14&gt;0,Gradesheet!#REF!,"NA")</f>
        <v>#REF!</v>
      </c>
      <c r="G337" s="138" t="e">
        <f>IF(Outline!$C$14&gt;0,Gradesheet!#REF!,Gradesheet!#REF!)</f>
        <v>#REF!</v>
      </c>
      <c r="H337" s="139" t="e">
        <f t="shared" si="6"/>
        <v>#REF!</v>
      </c>
    </row>
    <row r="338" spans="2:8" hidden="1" x14ac:dyDescent="0.25">
      <c r="B338" s="90" t="e">
        <f>Gradesheet!#REF!</f>
        <v>#REF!</v>
      </c>
      <c r="C338" s="91" t="e">
        <f>(Gradesheet!#REF!)</f>
        <v>#REF!</v>
      </c>
      <c r="D338" s="92" t="e">
        <f>IF(Outline!$C$14&gt;0,Gradesheet!#REF!,Gradesheet!#REF!)</f>
        <v>#REF!</v>
      </c>
      <c r="E338" s="138" t="e">
        <f>IF(Outline!$C$14&gt;0,Gradesheet!#REF!,Gradesheet!#REF!)</f>
        <v>#REF!</v>
      </c>
      <c r="F338" s="138" t="e">
        <f>IF(Outline!$C$14&gt;0,Gradesheet!#REF!,"NA")</f>
        <v>#REF!</v>
      </c>
      <c r="G338" s="138" t="e">
        <f>IF(Outline!$C$14&gt;0,Gradesheet!#REF!,Gradesheet!#REF!)</f>
        <v>#REF!</v>
      </c>
      <c r="H338" s="139" t="e">
        <f t="shared" si="6"/>
        <v>#REF!</v>
      </c>
    </row>
    <row r="339" spans="2:8" hidden="1" x14ac:dyDescent="0.25">
      <c r="B339" s="90" t="e">
        <f>Gradesheet!#REF!</f>
        <v>#REF!</v>
      </c>
      <c r="C339" s="91" t="e">
        <f>(Gradesheet!#REF!)</f>
        <v>#REF!</v>
      </c>
      <c r="D339" s="92" t="e">
        <f>IF(Outline!$C$14&gt;0,Gradesheet!#REF!,Gradesheet!#REF!)</f>
        <v>#REF!</v>
      </c>
      <c r="E339" s="138" t="e">
        <f>IF(Outline!$C$14&gt;0,Gradesheet!#REF!,Gradesheet!#REF!)</f>
        <v>#REF!</v>
      </c>
      <c r="F339" s="138" t="e">
        <f>IF(Outline!$C$14&gt;0,Gradesheet!#REF!,"NA")</f>
        <v>#REF!</v>
      </c>
      <c r="G339" s="138" t="e">
        <f>IF(Outline!$C$14&gt;0,Gradesheet!#REF!,Gradesheet!#REF!)</f>
        <v>#REF!</v>
      </c>
      <c r="H339" s="139" t="e">
        <f t="shared" si="6"/>
        <v>#REF!</v>
      </c>
    </row>
    <row r="340" spans="2:8" hidden="1" x14ac:dyDescent="0.25">
      <c r="B340" s="90" t="e">
        <f>Gradesheet!#REF!</f>
        <v>#REF!</v>
      </c>
      <c r="C340" s="91" t="e">
        <f>(Gradesheet!#REF!)</f>
        <v>#REF!</v>
      </c>
      <c r="D340" s="92" t="e">
        <f>IF(Outline!$C$14&gt;0,Gradesheet!#REF!,Gradesheet!#REF!)</f>
        <v>#REF!</v>
      </c>
      <c r="E340" s="138" t="e">
        <f>IF(Outline!$C$14&gt;0,Gradesheet!#REF!,Gradesheet!#REF!)</f>
        <v>#REF!</v>
      </c>
      <c r="F340" s="138" t="e">
        <f>IF(Outline!$C$14&gt;0,Gradesheet!#REF!,"NA")</f>
        <v>#REF!</v>
      </c>
      <c r="G340" s="138" t="e">
        <f>IF(Outline!$C$14&gt;0,Gradesheet!#REF!,Gradesheet!#REF!)</f>
        <v>#REF!</v>
      </c>
      <c r="H340" s="139" t="e">
        <f t="shared" si="6"/>
        <v>#REF!</v>
      </c>
    </row>
    <row r="341" spans="2:8" hidden="1" x14ac:dyDescent="0.25">
      <c r="B341" s="90" t="e">
        <f>Gradesheet!#REF!</f>
        <v>#REF!</v>
      </c>
      <c r="C341" s="91" t="e">
        <f>(Gradesheet!#REF!)</f>
        <v>#REF!</v>
      </c>
      <c r="D341" s="92" t="e">
        <f>IF(Outline!$C$14&gt;0,Gradesheet!#REF!,Gradesheet!#REF!)</f>
        <v>#REF!</v>
      </c>
      <c r="E341" s="138" t="e">
        <f>IF(Outline!$C$14&gt;0,Gradesheet!#REF!,Gradesheet!#REF!)</f>
        <v>#REF!</v>
      </c>
      <c r="F341" s="138" t="e">
        <f>IF(Outline!$C$14&gt;0,Gradesheet!#REF!,"NA")</f>
        <v>#REF!</v>
      </c>
      <c r="G341" s="138" t="e">
        <f>IF(Outline!$C$14&gt;0,Gradesheet!#REF!,Gradesheet!#REF!)</f>
        <v>#REF!</v>
      </c>
      <c r="H341" s="139" t="e">
        <f t="shared" si="6"/>
        <v>#REF!</v>
      </c>
    </row>
    <row r="342" spans="2:8" hidden="1" x14ac:dyDescent="0.25">
      <c r="B342" s="90" t="e">
        <f>Gradesheet!#REF!</f>
        <v>#REF!</v>
      </c>
      <c r="C342" s="91" t="e">
        <f>(Gradesheet!#REF!)</f>
        <v>#REF!</v>
      </c>
      <c r="D342" s="92" t="e">
        <f>IF(Outline!$C$14&gt;0,Gradesheet!#REF!,Gradesheet!#REF!)</f>
        <v>#REF!</v>
      </c>
      <c r="E342" s="138" t="e">
        <f>IF(Outline!$C$14&gt;0,Gradesheet!#REF!,Gradesheet!#REF!)</f>
        <v>#REF!</v>
      </c>
      <c r="F342" s="138" t="e">
        <f>IF(Outline!$C$14&gt;0,Gradesheet!#REF!,"NA")</f>
        <v>#REF!</v>
      </c>
      <c r="G342" s="138" t="e">
        <f>IF(Outline!$C$14&gt;0,Gradesheet!#REF!,Gradesheet!#REF!)</f>
        <v>#REF!</v>
      </c>
      <c r="H342" s="139" t="e">
        <f t="shared" si="6"/>
        <v>#REF!</v>
      </c>
    </row>
    <row r="343" spans="2:8" hidden="1" x14ac:dyDescent="0.25">
      <c r="B343" s="90" t="e">
        <f>Gradesheet!#REF!</f>
        <v>#REF!</v>
      </c>
      <c r="C343" s="91" t="e">
        <f>(Gradesheet!#REF!)</f>
        <v>#REF!</v>
      </c>
      <c r="D343" s="92" t="e">
        <f>IF(Outline!$C$14&gt;0,Gradesheet!#REF!,Gradesheet!#REF!)</f>
        <v>#REF!</v>
      </c>
      <c r="E343" s="138" t="e">
        <f>IF(Outline!$C$14&gt;0,Gradesheet!#REF!,Gradesheet!#REF!)</f>
        <v>#REF!</v>
      </c>
      <c r="F343" s="138" t="e">
        <f>IF(Outline!$C$14&gt;0,Gradesheet!#REF!,"NA")</f>
        <v>#REF!</v>
      </c>
      <c r="G343" s="138" t="e">
        <f>IF(Outline!$C$14&gt;0,Gradesheet!#REF!,Gradesheet!#REF!)</f>
        <v>#REF!</v>
      </c>
      <c r="H343" s="139" t="e">
        <f t="shared" si="6"/>
        <v>#REF!</v>
      </c>
    </row>
    <row r="344" spans="2:8" hidden="1" x14ac:dyDescent="0.25">
      <c r="B344" s="90" t="e">
        <f>Gradesheet!#REF!</f>
        <v>#REF!</v>
      </c>
      <c r="C344" s="91" t="e">
        <f>(Gradesheet!#REF!)</f>
        <v>#REF!</v>
      </c>
      <c r="D344" s="92" t="e">
        <f>IF(Outline!$C$14&gt;0,Gradesheet!#REF!,Gradesheet!#REF!)</f>
        <v>#REF!</v>
      </c>
      <c r="E344" s="138" t="e">
        <f>IF(Outline!$C$14&gt;0,Gradesheet!#REF!,Gradesheet!#REF!)</f>
        <v>#REF!</v>
      </c>
      <c r="F344" s="138" t="e">
        <f>IF(Outline!$C$14&gt;0,Gradesheet!#REF!,"NA")</f>
        <v>#REF!</v>
      </c>
      <c r="G344" s="138" t="e">
        <f>IF(Outline!$C$14&gt;0,Gradesheet!#REF!,Gradesheet!#REF!)</f>
        <v>#REF!</v>
      </c>
      <c r="H344" s="139" t="e">
        <f t="shared" si="6"/>
        <v>#REF!</v>
      </c>
    </row>
    <row r="345" spans="2:8" hidden="1" x14ac:dyDescent="0.25">
      <c r="B345" s="90" t="e">
        <f>Gradesheet!#REF!</f>
        <v>#REF!</v>
      </c>
      <c r="C345" s="91" t="e">
        <f>(Gradesheet!#REF!)</f>
        <v>#REF!</v>
      </c>
      <c r="D345" s="92" t="e">
        <f>IF(Outline!$C$14&gt;0,Gradesheet!#REF!,Gradesheet!#REF!)</f>
        <v>#REF!</v>
      </c>
      <c r="E345" s="138" t="e">
        <f>IF(Outline!$C$14&gt;0,Gradesheet!#REF!,Gradesheet!#REF!)</f>
        <v>#REF!</v>
      </c>
      <c r="F345" s="138" t="e">
        <f>IF(Outline!$C$14&gt;0,Gradesheet!#REF!,"NA")</f>
        <v>#REF!</v>
      </c>
      <c r="G345" s="138" t="e">
        <f>IF(Outline!$C$14&gt;0,Gradesheet!#REF!,Gradesheet!#REF!)</f>
        <v>#REF!</v>
      </c>
      <c r="H345" s="139" t="e">
        <f t="shared" si="6"/>
        <v>#REF!</v>
      </c>
    </row>
    <row r="346" spans="2:8" hidden="1" x14ac:dyDescent="0.25">
      <c r="B346" s="90" t="e">
        <f>Gradesheet!#REF!</f>
        <v>#REF!</v>
      </c>
      <c r="C346" s="91" t="e">
        <f>(Gradesheet!#REF!)</f>
        <v>#REF!</v>
      </c>
      <c r="D346" s="92" t="e">
        <f>IF(Outline!$C$14&gt;0,Gradesheet!#REF!,Gradesheet!#REF!)</f>
        <v>#REF!</v>
      </c>
      <c r="E346" s="138" t="e">
        <f>IF(Outline!$C$14&gt;0,Gradesheet!#REF!,Gradesheet!#REF!)</f>
        <v>#REF!</v>
      </c>
      <c r="F346" s="138" t="e">
        <f>IF(Outline!$C$14&gt;0,Gradesheet!#REF!,"NA")</f>
        <v>#REF!</v>
      </c>
      <c r="G346" s="138" t="e">
        <f>IF(Outline!$C$14&gt;0,Gradesheet!#REF!,Gradesheet!#REF!)</f>
        <v>#REF!</v>
      </c>
      <c r="H346" s="139" t="e">
        <f t="shared" si="6"/>
        <v>#REF!</v>
      </c>
    </row>
    <row r="347" spans="2:8" hidden="1" x14ac:dyDescent="0.25">
      <c r="B347" s="90" t="e">
        <f>Gradesheet!#REF!</f>
        <v>#REF!</v>
      </c>
      <c r="C347" s="91" t="e">
        <f>(Gradesheet!#REF!)</f>
        <v>#REF!</v>
      </c>
      <c r="D347" s="92" t="e">
        <f>IF(Outline!$C$14&gt;0,Gradesheet!#REF!,Gradesheet!#REF!)</f>
        <v>#REF!</v>
      </c>
      <c r="E347" s="138" t="e">
        <f>IF(Outline!$C$14&gt;0,Gradesheet!#REF!,Gradesheet!#REF!)</f>
        <v>#REF!</v>
      </c>
      <c r="F347" s="138" t="e">
        <f>IF(Outline!$C$14&gt;0,Gradesheet!#REF!,"NA")</f>
        <v>#REF!</v>
      </c>
      <c r="G347" s="138" t="e">
        <f>IF(Outline!$C$14&gt;0,Gradesheet!#REF!,Gradesheet!#REF!)</f>
        <v>#REF!</v>
      </c>
      <c r="H347" s="139" t="e">
        <f t="shared" si="6"/>
        <v>#REF!</v>
      </c>
    </row>
    <row r="348" spans="2:8" hidden="1" x14ac:dyDescent="0.25">
      <c r="B348" s="90" t="e">
        <f>Gradesheet!#REF!</f>
        <v>#REF!</v>
      </c>
      <c r="C348" s="91" t="e">
        <f>(Gradesheet!#REF!)</f>
        <v>#REF!</v>
      </c>
      <c r="D348" s="92" t="e">
        <f>IF(Outline!$C$14&gt;0,Gradesheet!#REF!,Gradesheet!#REF!)</f>
        <v>#REF!</v>
      </c>
      <c r="E348" s="138" t="e">
        <f>IF(Outline!$C$14&gt;0,Gradesheet!#REF!,Gradesheet!#REF!)</f>
        <v>#REF!</v>
      </c>
      <c r="F348" s="138" t="e">
        <f>IF(Outline!$C$14&gt;0,Gradesheet!#REF!,"NA")</f>
        <v>#REF!</v>
      </c>
      <c r="G348" s="138" t="e">
        <f>IF(Outline!$C$14&gt;0,Gradesheet!#REF!,Gradesheet!#REF!)</f>
        <v>#REF!</v>
      </c>
      <c r="H348" s="139" t="e">
        <f t="shared" si="6"/>
        <v>#REF!</v>
      </c>
    </row>
    <row r="349" spans="2:8" hidden="1" x14ac:dyDescent="0.25">
      <c r="B349" s="90" t="e">
        <f>Gradesheet!#REF!</f>
        <v>#REF!</v>
      </c>
      <c r="C349" s="91" t="e">
        <f>(Gradesheet!#REF!)</f>
        <v>#REF!</v>
      </c>
      <c r="D349" s="92" t="e">
        <f>IF(Outline!$C$14&gt;0,Gradesheet!#REF!,Gradesheet!#REF!)</f>
        <v>#REF!</v>
      </c>
      <c r="E349" s="138" t="e">
        <f>IF(Outline!$C$14&gt;0,Gradesheet!#REF!,Gradesheet!#REF!)</f>
        <v>#REF!</v>
      </c>
      <c r="F349" s="138" t="e">
        <f>IF(Outline!$C$14&gt;0,Gradesheet!#REF!,"NA")</f>
        <v>#REF!</v>
      </c>
      <c r="G349" s="138" t="e">
        <f>IF(Outline!$C$14&gt;0,Gradesheet!#REF!,Gradesheet!#REF!)</f>
        <v>#REF!</v>
      </c>
      <c r="H349" s="139" t="e">
        <f t="shared" si="6"/>
        <v>#REF!</v>
      </c>
    </row>
    <row r="350" spans="2:8" hidden="1" x14ac:dyDescent="0.25">
      <c r="B350" s="90" t="e">
        <f>Gradesheet!#REF!</f>
        <v>#REF!</v>
      </c>
      <c r="C350" s="91" t="e">
        <f>(Gradesheet!#REF!)</f>
        <v>#REF!</v>
      </c>
      <c r="D350" s="92" t="e">
        <f>IF(Outline!$C$14&gt;0,Gradesheet!#REF!,Gradesheet!#REF!)</f>
        <v>#REF!</v>
      </c>
      <c r="E350" s="138" t="e">
        <f>IF(Outline!$C$14&gt;0,Gradesheet!#REF!,Gradesheet!#REF!)</f>
        <v>#REF!</v>
      </c>
      <c r="F350" s="138" t="e">
        <f>IF(Outline!$C$14&gt;0,Gradesheet!#REF!,"NA")</f>
        <v>#REF!</v>
      </c>
      <c r="G350" s="138" t="e">
        <f>IF(Outline!$C$14&gt;0,Gradesheet!#REF!,Gradesheet!#REF!)</f>
        <v>#REF!</v>
      </c>
      <c r="H350" s="139" t="e">
        <f t="shared" si="6"/>
        <v>#REF!</v>
      </c>
    </row>
    <row r="351" spans="2:8" hidden="1" x14ac:dyDescent="0.25">
      <c r="B351" s="90" t="e">
        <f>Gradesheet!#REF!</f>
        <v>#REF!</v>
      </c>
      <c r="C351" s="91" t="e">
        <f>(Gradesheet!#REF!)</f>
        <v>#REF!</v>
      </c>
      <c r="D351" s="92" t="e">
        <f>IF(Outline!$C$14&gt;0,Gradesheet!#REF!,Gradesheet!#REF!)</f>
        <v>#REF!</v>
      </c>
      <c r="E351" s="138" t="e">
        <f>IF(Outline!$C$14&gt;0,Gradesheet!#REF!,Gradesheet!#REF!)</f>
        <v>#REF!</v>
      </c>
      <c r="F351" s="138" t="e">
        <f>IF(Outline!$C$14&gt;0,Gradesheet!#REF!,"NA")</f>
        <v>#REF!</v>
      </c>
      <c r="G351" s="138" t="e">
        <f>IF(Outline!$C$14&gt;0,Gradesheet!#REF!,Gradesheet!#REF!)</f>
        <v>#REF!</v>
      </c>
      <c r="H351" s="139" t="e">
        <f t="shared" si="6"/>
        <v>#REF!</v>
      </c>
    </row>
    <row r="352" spans="2:8" hidden="1" x14ac:dyDescent="0.25">
      <c r="B352" s="90" t="e">
        <f>Gradesheet!#REF!</f>
        <v>#REF!</v>
      </c>
      <c r="C352" s="91" t="e">
        <f>(Gradesheet!#REF!)</f>
        <v>#REF!</v>
      </c>
      <c r="D352" s="92" t="e">
        <f>IF(Outline!$C$14&gt;0,Gradesheet!#REF!,Gradesheet!#REF!)</f>
        <v>#REF!</v>
      </c>
      <c r="E352" s="138" t="e">
        <f>IF(Outline!$C$14&gt;0,Gradesheet!#REF!,Gradesheet!#REF!)</f>
        <v>#REF!</v>
      </c>
      <c r="F352" s="138" t="e">
        <f>IF(Outline!$C$14&gt;0,Gradesheet!#REF!,"NA")</f>
        <v>#REF!</v>
      </c>
      <c r="G352" s="138" t="e">
        <f>IF(Outline!$C$14&gt;0,Gradesheet!#REF!,Gradesheet!#REF!)</f>
        <v>#REF!</v>
      </c>
      <c r="H352" s="139" t="e">
        <f t="shared" si="6"/>
        <v>#REF!</v>
      </c>
    </row>
    <row r="353" spans="2:8" hidden="1" x14ac:dyDescent="0.25">
      <c r="B353" s="90" t="e">
        <f>Gradesheet!#REF!</f>
        <v>#REF!</v>
      </c>
      <c r="C353" s="91" t="e">
        <f>(Gradesheet!#REF!)</f>
        <v>#REF!</v>
      </c>
      <c r="D353" s="92" t="e">
        <f>IF(Outline!$C$14&gt;0,Gradesheet!#REF!,Gradesheet!#REF!)</f>
        <v>#REF!</v>
      </c>
      <c r="E353" s="138" t="e">
        <f>IF(Outline!$C$14&gt;0,Gradesheet!#REF!,Gradesheet!#REF!)</f>
        <v>#REF!</v>
      </c>
      <c r="F353" s="138" t="e">
        <f>IF(Outline!$C$14&gt;0,Gradesheet!#REF!,"NA")</f>
        <v>#REF!</v>
      </c>
      <c r="G353" s="138" t="e">
        <f>IF(Outline!$C$14&gt;0,Gradesheet!#REF!,Gradesheet!#REF!)</f>
        <v>#REF!</v>
      </c>
      <c r="H353" s="139" t="e">
        <f t="shared" si="6"/>
        <v>#REF!</v>
      </c>
    </row>
    <row r="354" spans="2:8" hidden="1" x14ac:dyDescent="0.25">
      <c r="B354" s="90" t="e">
        <f>Gradesheet!#REF!</f>
        <v>#REF!</v>
      </c>
      <c r="C354" s="91" t="e">
        <f>(Gradesheet!#REF!)</f>
        <v>#REF!</v>
      </c>
      <c r="D354" s="92" t="e">
        <f>IF(Outline!$C$14&gt;0,Gradesheet!#REF!,Gradesheet!#REF!)</f>
        <v>#REF!</v>
      </c>
      <c r="E354" s="138" t="e">
        <f>IF(Outline!$C$14&gt;0,Gradesheet!#REF!,Gradesheet!#REF!)</f>
        <v>#REF!</v>
      </c>
      <c r="F354" s="138" t="e">
        <f>IF(Outline!$C$14&gt;0,Gradesheet!#REF!,"NA")</f>
        <v>#REF!</v>
      </c>
      <c r="G354" s="138" t="e">
        <f>IF(Outline!$C$14&gt;0,Gradesheet!#REF!,Gradesheet!#REF!)</f>
        <v>#REF!</v>
      </c>
      <c r="H354" s="139" t="e">
        <f t="shared" si="6"/>
        <v>#REF!</v>
      </c>
    </row>
    <row r="355" spans="2:8" hidden="1" x14ac:dyDescent="0.25">
      <c r="B355" s="90" t="e">
        <f>Gradesheet!#REF!</f>
        <v>#REF!</v>
      </c>
      <c r="C355" s="91" t="e">
        <f>(Gradesheet!#REF!)</f>
        <v>#REF!</v>
      </c>
      <c r="D355" s="92" t="e">
        <f>IF(Outline!$C$14&gt;0,Gradesheet!#REF!,Gradesheet!#REF!)</f>
        <v>#REF!</v>
      </c>
      <c r="E355" s="138" t="e">
        <f>IF(Outline!$C$14&gt;0,Gradesheet!#REF!,Gradesheet!#REF!)</f>
        <v>#REF!</v>
      </c>
      <c r="F355" s="138" t="e">
        <f>IF(Outline!$C$14&gt;0,Gradesheet!#REF!,"NA")</f>
        <v>#REF!</v>
      </c>
      <c r="G355" s="138" t="e">
        <f>IF(Outline!$C$14&gt;0,Gradesheet!#REF!,Gradesheet!#REF!)</f>
        <v>#REF!</v>
      </c>
      <c r="H355" s="139" t="e">
        <f t="shared" si="6"/>
        <v>#REF!</v>
      </c>
    </row>
    <row r="356" spans="2:8" hidden="1" x14ac:dyDescent="0.25">
      <c r="B356" s="90" t="e">
        <f>Gradesheet!#REF!</f>
        <v>#REF!</v>
      </c>
      <c r="C356" s="91" t="e">
        <f>(Gradesheet!#REF!)</f>
        <v>#REF!</v>
      </c>
      <c r="D356" s="92" t="e">
        <f>IF(Outline!$C$14&gt;0,Gradesheet!#REF!,Gradesheet!#REF!)</f>
        <v>#REF!</v>
      </c>
      <c r="E356" s="138" t="e">
        <f>IF(Outline!$C$14&gt;0,Gradesheet!#REF!,Gradesheet!#REF!)</f>
        <v>#REF!</v>
      </c>
      <c r="F356" s="138" t="e">
        <f>IF(Outline!$C$14&gt;0,Gradesheet!#REF!,"NA")</f>
        <v>#REF!</v>
      </c>
      <c r="G356" s="138" t="e">
        <f>IF(Outline!$C$14&gt;0,Gradesheet!#REF!,Gradesheet!#REF!)</f>
        <v>#REF!</v>
      </c>
      <c r="H356" s="139" t="e">
        <f t="shared" si="6"/>
        <v>#REF!</v>
      </c>
    </row>
    <row r="357" spans="2:8" hidden="1" x14ac:dyDescent="0.25">
      <c r="B357" s="90" t="e">
        <f>Gradesheet!#REF!</f>
        <v>#REF!</v>
      </c>
      <c r="C357" s="91" t="e">
        <f>(Gradesheet!#REF!)</f>
        <v>#REF!</v>
      </c>
      <c r="D357" s="92" t="e">
        <f>IF(Outline!$C$14&gt;0,Gradesheet!#REF!,Gradesheet!#REF!)</f>
        <v>#REF!</v>
      </c>
      <c r="E357" s="138" t="e">
        <f>IF(Outline!$C$14&gt;0,Gradesheet!#REF!,Gradesheet!#REF!)</f>
        <v>#REF!</v>
      </c>
      <c r="F357" s="138" t="e">
        <f>IF(Outline!$C$14&gt;0,Gradesheet!#REF!,"NA")</f>
        <v>#REF!</v>
      </c>
      <c r="G357" s="138" t="e">
        <f>IF(Outline!$C$14&gt;0,Gradesheet!#REF!,Gradesheet!#REF!)</f>
        <v>#REF!</v>
      </c>
      <c r="H357" s="139" t="e">
        <f t="shared" si="6"/>
        <v>#REF!</v>
      </c>
    </row>
    <row r="358" spans="2:8" hidden="1" x14ac:dyDescent="0.25">
      <c r="B358" s="90" t="e">
        <f>Gradesheet!#REF!</f>
        <v>#REF!</v>
      </c>
      <c r="C358" s="91" t="e">
        <f>(Gradesheet!#REF!)</f>
        <v>#REF!</v>
      </c>
      <c r="D358" s="92" t="e">
        <f>IF(Outline!$C$14&gt;0,Gradesheet!#REF!,Gradesheet!#REF!)</f>
        <v>#REF!</v>
      </c>
      <c r="E358" s="138" t="e">
        <f>IF(Outline!$C$14&gt;0,Gradesheet!#REF!,Gradesheet!#REF!)</f>
        <v>#REF!</v>
      </c>
      <c r="F358" s="138" t="e">
        <f>IF(Outline!$C$14&gt;0,Gradesheet!#REF!,"NA")</f>
        <v>#REF!</v>
      </c>
      <c r="G358" s="138" t="e">
        <f>IF(Outline!$C$14&gt;0,Gradesheet!#REF!,Gradesheet!#REF!)</f>
        <v>#REF!</v>
      </c>
      <c r="H358" s="139" t="e">
        <f t="shared" si="6"/>
        <v>#REF!</v>
      </c>
    </row>
    <row r="359" spans="2:8" hidden="1" x14ac:dyDescent="0.25">
      <c r="B359" s="90" t="e">
        <f>Gradesheet!#REF!</f>
        <v>#REF!</v>
      </c>
      <c r="C359" s="91" t="e">
        <f>(Gradesheet!#REF!)</f>
        <v>#REF!</v>
      </c>
      <c r="D359" s="92" t="e">
        <f>IF(Outline!$C$14&gt;0,Gradesheet!#REF!,Gradesheet!#REF!)</f>
        <v>#REF!</v>
      </c>
      <c r="E359" s="138" t="e">
        <f>IF(Outline!$C$14&gt;0,Gradesheet!#REF!,Gradesheet!#REF!)</f>
        <v>#REF!</v>
      </c>
      <c r="F359" s="138" t="e">
        <f>IF(Outline!$C$14&gt;0,Gradesheet!#REF!,"NA")</f>
        <v>#REF!</v>
      </c>
      <c r="G359" s="138" t="e">
        <f>IF(Outline!$C$14&gt;0,Gradesheet!#REF!,Gradesheet!#REF!)</f>
        <v>#REF!</v>
      </c>
      <c r="H359" s="139" t="e">
        <f t="shared" si="6"/>
        <v>#REF!</v>
      </c>
    </row>
    <row r="360" spans="2:8" hidden="1" x14ac:dyDescent="0.25">
      <c r="B360" s="90" t="e">
        <f>Gradesheet!#REF!</f>
        <v>#REF!</v>
      </c>
      <c r="C360" s="91" t="e">
        <f>(Gradesheet!#REF!)</f>
        <v>#REF!</v>
      </c>
      <c r="D360" s="92" t="e">
        <f>IF(Outline!$C$14&gt;0,Gradesheet!#REF!,Gradesheet!#REF!)</f>
        <v>#REF!</v>
      </c>
      <c r="E360" s="138" t="e">
        <f>IF(Outline!$C$14&gt;0,Gradesheet!#REF!,Gradesheet!#REF!)</f>
        <v>#REF!</v>
      </c>
      <c r="F360" s="138" t="e">
        <f>IF(Outline!$C$14&gt;0,Gradesheet!#REF!,"NA")</f>
        <v>#REF!</v>
      </c>
      <c r="G360" s="138" t="e">
        <f>IF(Outline!$C$14&gt;0,Gradesheet!#REF!,Gradesheet!#REF!)</f>
        <v>#REF!</v>
      </c>
      <c r="H360" s="139" t="e">
        <f t="shared" si="6"/>
        <v>#REF!</v>
      </c>
    </row>
    <row r="361" spans="2:8" hidden="1" x14ac:dyDescent="0.25">
      <c r="B361" s="90" t="e">
        <f>Gradesheet!#REF!</f>
        <v>#REF!</v>
      </c>
      <c r="C361" s="91" t="e">
        <f>(Gradesheet!#REF!)</f>
        <v>#REF!</v>
      </c>
      <c r="D361" s="92" t="e">
        <f>IF(Outline!$C$14&gt;0,Gradesheet!#REF!,Gradesheet!#REF!)</f>
        <v>#REF!</v>
      </c>
      <c r="E361" s="138" t="e">
        <f>IF(Outline!$C$14&gt;0,Gradesheet!#REF!,Gradesheet!#REF!)</f>
        <v>#REF!</v>
      </c>
      <c r="F361" s="138" t="e">
        <f>IF(Outline!$C$14&gt;0,Gradesheet!#REF!,"NA")</f>
        <v>#REF!</v>
      </c>
      <c r="G361" s="138" t="e">
        <f>IF(Outline!$C$14&gt;0,Gradesheet!#REF!,Gradesheet!#REF!)</f>
        <v>#REF!</v>
      </c>
      <c r="H361" s="139" t="e">
        <f t="shared" si="6"/>
        <v>#REF!</v>
      </c>
    </row>
    <row r="362" spans="2:8" hidden="1" x14ac:dyDescent="0.25">
      <c r="B362" s="90" t="e">
        <f>Gradesheet!#REF!</f>
        <v>#REF!</v>
      </c>
      <c r="C362" s="91" t="e">
        <f>(Gradesheet!#REF!)</f>
        <v>#REF!</v>
      </c>
      <c r="D362" s="92" t="e">
        <f>IF(Outline!$C$14&gt;0,Gradesheet!#REF!,Gradesheet!#REF!)</f>
        <v>#REF!</v>
      </c>
      <c r="E362" s="138" t="e">
        <f>IF(Outline!$C$14&gt;0,Gradesheet!#REF!,Gradesheet!#REF!)</f>
        <v>#REF!</v>
      </c>
      <c r="F362" s="138" t="e">
        <f>IF(Outline!$C$14&gt;0,Gradesheet!#REF!,"NA")</f>
        <v>#REF!</v>
      </c>
      <c r="G362" s="138" t="e">
        <f>IF(Outline!$C$14&gt;0,Gradesheet!#REF!,Gradesheet!#REF!)</f>
        <v>#REF!</v>
      </c>
      <c r="H362" s="139" t="e">
        <f t="shared" si="6"/>
        <v>#REF!</v>
      </c>
    </row>
    <row r="363" spans="2:8" hidden="1" x14ac:dyDescent="0.25">
      <c r="B363" s="90" t="e">
        <f>Gradesheet!#REF!</f>
        <v>#REF!</v>
      </c>
      <c r="C363" s="91" t="e">
        <f>(Gradesheet!#REF!)</f>
        <v>#REF!</v>
      </c>
      <c r="D363" s="92" t="e">
        <f>IF(Outline!$C$14&gt;0,Gradesheet!#REF!,Gradesheet!#REF!)</f>
        <v>#REF!</v>
      </c>
      <c r="E363" s="138" t="e">
        <f>IF(Outline!$C$14&gt;0,Gradesheet!#REF!,Gradesheet!#REF!)</f>
        <v>#REF!</v>
      </c>
      <c r="F363" s="138" t="e">
        <f>IF(Outline!$C$14&gt;0,Gradesheet!#REF!,"NA")</f>
        <v>#REF!</v>
      </c>
      <c r="G363" s="138" t="e">
        <f>IF(Outline!$C$14&gt;0,Gradesheet!#REF!,Gradesheet!#REF!)</f>
        <v>#REF!</v>
      </c>
      <c r="H363" s="139" t="e">
        <f t="shared" si="6"/>
        <v>#REF!</v>
      </c>
    </row>
    <row r="364" spans="2:8" hidden="1" x14ac:dyDescent="0.25">
      <c r="B364" s="90" t="e">
        <f>Gradesheet!#REF!</f>
        <v>#REF!</v>
      </c>
      <c r="C364" s="91" t="e">
        <f>(Gradesheet!#REF!)</f>
        <v>#REF!</v>
      </c>
      <c r="D364" s="92" t="e">
        <f>IF(Outline!$C$14&gt;0,Gradesheet!#REF!,Gradesheet!#REF!)</f>
        <v>#REF!</v>
      </c>
      <c r="E364" s="138" t="e">
        <f>IF(Outline!$C$14&gt;0,Gradesheet!#REF!,Gradesheet!#REF!)</f>
        <v>#REF!</v>
      </c>
      <c r="F364" s="138" t="e">
        <f>IF(Outline!$C$14&gt;0,Gradesheet!#REF!,"NA")</f>
        <v>#REF!</v>
      </c>
      <c r="G364" s="138" t="e">
        <f>IF(Outline!$C$14&gt;0,Gradesheet!#REF!,Gradesheet!#REF!)</f>
        <v>#REF!</v>
      </c>
      <c r="H364" s="139" t="e">
        <f t="shared" si="6"/>
        <v>#REF!</v>
      </c>
    </row>
    <row r="365" spans="2:8" hidden="1" x14ac:dyDescent="0.25">
      <c r="B365" s="90" t="e">
        <f>Gradesheet!#REF!</f>
        <v>#REF!</v>
      </c>
      <c r="C365" s="91" t="e">
        <f>(Gradesheet!#REF!)</f>
        <v>#REF!</v>
      </c>
      <c r="D365" s="92" t="e">
        <f>IF(Outline!$C$14&gt;0,Gradesheet!#REF!,Gradesheet!#REF!)</f>
        <v>#REF!</v>
      </c>
      <c r="E365" s="138" t="e">
        <f>IF(Outline!$C$14&gt;0,Gradesheet!#REF!,Gradesheet!#REF!)</f>
        <v>#REF!</v>
      </c>
      <c r="F365" s="138" t="e">
        <f>IF(Outline!$C$14&gt;0,Gradesheet!#REF!,"NA")</f>
        <v>#REF!</v>
      </c>
      <c r="G365" s="138" t="e">
        <f>IF(Outline!$C$14&gt;0,Gradesheet!#REF!,Gradesheet!#REF!)</f>
        <v>#REF!</v>
      </c>
      <c r="H365" s="139" t="e">
        <f t="shared" si="6"/>
        <v>#REF!</v>
      </c>
    </row>
    <row r="366" spans="2:8" hidden="1" x14ac:dyDescent="0.25">
      <c r="B366" s="90" t="e">
        <f>Gradesheet!#REF!</f>
        <v>#REF!</v>
      </c>
      <c r="C366" s="91" t="e">
        <f>(Gradesheet!#REF!)</f>
        <v>#REF!</v>
      </c>
      <c r="D366" s="92" t="e">
        <f>IF(Outline!$C$14&gt;0,Gradesheet!#REF!,Gradesheet!#REF!)</f>
        <v>#REF!</v>
      </c>
      <c r="E366" s="138" t="e">
        <f>IF(Outline!$C$14&gt;0,Gradesheet!#REF!,Gradesheet!#REF!)</f>
        <v>#REF!</v>
      </c>
      <c r="F366" s="138" t="e">
        <f>IF(Outline!$C$14&gt;0,Gradesheet!#REF!,"NA")</f>
        <v>#REF!</v>
      </c>
      <c r="G366" s="138" t="e">
        <f>IF(Outline!$C$14&gt;0,Gradesheet!#REF!,Gradesheet!#REF!)</f>
        <v>#REF!</v>
      </c>
      <c r="H366" s="139" t="e">
        <f t="shared" si="6"/>
        <v>#REF!</v>
      </c>
    </row>
    <row r="367" spans="2:8" hidden="1" x14ac:dyDescent="0.25">
      <c r="B367" s="90" t="e">
        <f>Gradesheet!#REF!</f>
        <v>#REF!</v>
      </c>
      <c r="C367" s="91" t="e">
        <f>(Gradesheet!#REF!)</f>
        <v>#REF!</v>
      </c>
      <c r="D367" s="92" t="e">
        <f>IF(Outline!$C$14&gt;0,Gradesheet!#REF!,Gradesheet!#REF!)</f>
        <v>#REF!</v>
      </c>
      <c r="E367" s="138" t="e">
        <f>IF(Outline!$C$14&gt;0,Gradesheet!#REF!,Gradesheet!#REF!)</f>
        <v>#REF!</v>
      </c>
      <c r="F367" s="138" t="e">
        <f>IF(Outline!$C$14&gt;0,Gradesheet!#REF!,"NA")</f>
        <v>#REF!</v>
      </c>
      <c r="G367" s="138" t="e">
        <f>IF(Outline!$C$14&gt;0,Gradesheet!#REF!,Gradesheet!#REF!)</f>
        <v>#REF!</v>
      </c>
      <c r="H367" s="139" t="e">
        <f t="shared" si="6"/>
        <v>#REF!</v>
      </c>
    </row>
    <row r="368" spans="2:8" hidden="1" x14ac:dyDescent="0.25">
      <c r="B368" s="90" t="e">
        <f>Gradesheet!#REF!</f>
        <v>#REF!</v>
      </c>
      <c r="C368" s="91" t="e">
        <f>(Gradesheet!#REF!)</f>
        <v>#REF!</v>
      </c>
      <c r="D368" s="92" t="e">
        <f>IF(Outline!$C$14&gt;0,Gradesheet!#REF!,Gradesheet!#REF!)</f>
        <v>#REF!</v>
      </c>
      <c r="E368" s="138" t="e">
        <f>IF(Outline!$C$14&gt;0,Gradesheet!#REF!,Gradesheet!#REF!)</f>
        <v>#REF!</v>
      </c>
      <c r="F368" s="138" t="e">
        <f>IF(Outline!$C$14&gt;0,Gradesheet!#REF!,"NA")</f>
        <v>#REF!</v>
      </c>
      <c r="G368" s="138" t="e">
        <f>IF(Outline!$C$14&gt;0,Gradesheet!#REF!,Gradesheet!#REF!)</f>
        <v>#REF!</v>
      </c>
      <c r="H368" s="139" t="e">
        <f t="shared" si="6"/>
        <v>#REF!</v>
      </c>
    </row>
    <row r="369" spans="2:8" hidden="1" x14ac:dyDescent="0.25">
      <c r="B369" s="90" t="e">
        <f>Gradesheet!#REF!</f>
        <v>#REF!</v>
      </c>
      <c r="C369" s="91" t="e">
        <f>(Gradesheet!#REF!)</f>
        <v>#REF!</v>
      </c>
      <c r="D369" s="92" t="e">
        <f>IF(Outline!$C$14&gt;0,Gradesheet!#REF!,Gradesheet!#REF!)</f>
        <v>#REF!</v>
      </c>
      <c r="E369" s="138" t="e">
        <f>IF(Outline!$C$14&gt;0,Gradesheet!#REF!,Gradesheet!#REF!)</f>
        <v>#REF!</v>
      </c>
      <c r="F369" s="138" t="e">
        <f>IF(Outline!$C$14&gt;0,Gradesheet!#REF!,"NA")</f>
        <v>#REF!</v>
      </c>
      <c r="G369" s="138" t="e">
        <f>IF(Outline!$C$14&gt;0,Gradesheet!#REF!,Gradesheet!#REF!)</f>
        <v>#REF!</v>
      </c>
      <c r="H369" s="139" t="e">
        <f t="shared" si="6"/>
        <v>#REF!</v>
      </c>
    </row>
    <row r="370" spans="2:8" hidden="1" x14ac:dyDescent="0.25">
      <c r="B370" s="90" t="e">
        <f>Gradesheet!#REF!</f>
        <v>#REF!</v>
      </c>
      <c r="C370" s="91" t="e">
        <f>(Gradesheet!#REF!)</f>
        <v>#REF!</v>
      </c>
      <c r="D370" s="92" t="e">
        <f>IF(Outline!$C$14&gt;0,Gradesheet!#REF!,Gradesheet!#REF!)</f>
        <v>#REF!</v>
      </c>
      <c r="E370" s="138" t="e">
        <f>IF(Outline!$C$14&gt;0,Gradesheet!#REF!,Gradesheet!#REF!)</f>
        <v>#REF!</v>
      </c>
      <c r="F370" s="138" t="e">
        <f>IF(Outline!$C$14&gt;0,Gradesheet!#REF!,"NA")</f>
        <v>#REF!</v>
      </c>
      <c r="G370" s="138" t="e">
        <f>IF(Outline!$C$14&gt;0,Gradesheet!#REF!,Gradesheet!#REF!)</f>
        <v>#REF!</v>
      </c>
      <c r="H370" s="139" t="e">
        <f t="shared" si="6"/>
        <v>#REF!</v>
      </c>
    </row>
    <row r="371" spans="2:8" hidden="1" x14ac:dyDescent="0.25">
      <c r="B371" s="90" t="e">
        <f>Gradesheet!#REF!</f>
        <v>#REF!</v>
      </c>
      <c r="C371" s="91" t="e">
        <f>(Gradesheet!#REF!)</f>
        <v>#REF!</v>
      </c>
      <c r="D371" s="92" t="e">
        <f>IF(Outline!$C$14&gt;0,Gradesheet!#REF!,Gradesheet!#REF!)</f>
        <v>#REF!</v>
      </c>
      <c r="E371" s="138" t="e">
        <f>IF(Outline!$C$14&gt;0,Gradesheet!#REF!,Gradesheet!#REF!)</f>
        <v>#REF!</v>
      </c>
      <c r="F371" s="138" t="e">
        <f>IF(Outline!$C$14&gt;0,Gradesheet!#REF!,"NA")</f>
        <v>#REF!</v>
      </c>
      <c r="G371" s="138" t="e">
        <f>IF(Outline!$C$14&gt;0,Gradesheet!#REF!,Gradesheet!#REF!)</f>
        <v>#REF!</v>
      </c>
      <c r="H371" s="139" t="e">
        <f t="shared" si="6"/>
        <v>#REF!</v>
      </c>
    </row>
    <row r="372" spans="2:8" hidden="1" x14ac:dyDescent="0.25">
      <c r="B372" s="90" t="e">
        <f>Gradesheet!#REF!</f>
        <v>#REF!</v>
      </c>
      <c r="C372" s="91" t="e">
        <f>(Gradesheet!#REF!)</f>
        <v>#REF!</v>
      </c>
      <c r="D372" s="92" t="e">
        <f>IF(Outline!$C$14&gt;0,Gradesheet!#REF!,Gradesheet!#REF!)</f>
        <v>#REF!</v>
      </c>
      <c r="E372" s="138" t="e">
        <f>IF(Outline!$C$14&gt;0,Gradesheet!#REF!,Gradesheet!#REF!)</f>
        <v>#REF!</v>
      </c>
      <c r="F372" s="138" t="e">
        <f>IF(Outline!$C$14&gt;0,Gradesheet!#REF!,"NA")</f>
        <v>#REF!</v>
      </c>
      <c r="G372" s="138" t="e">
        <f>IF(Outline!$C$14&gt;0,Gradesheet!#REF!,Gradesheet!#REF!)</f>
        <v>#REF!</v>
      </c>
      <c r="H372" s="139" t="e">
        <f t="shared" si="6"/>
        <v>#REF!</v>
      </c>
    </row>
    <row r="373" spans="2:8" hidden="1" x14ac:dyDescent="0.25">
      <c r="B373" s="90" t="e">
        <f>Gradesheet!#REF!</f>
        <v>#REF!</v>
      </c>
      <c r="C373" s="91" t="e">
        <f>(Gradesheet!#REF!)</f>
        <v>#REF!</v>
      </c>
      <c r="D373" s="92" t="e">
        <f>IF(Outline!$C$14&gt;0,Gradesheet!#REF!,Gradesheet!#REF!)</f>
        <v>#REF!</v>
      </c>
      <c r="E373" s="138" t="e">
        <f>IF(Outline!$C$14&gt;0,Gradesheet!#REF!,Gradesheet!#REF!)</f>
        <v>#REF!</v>
      </c>
      <c r="F373" s="138" t="e">
        <f>IF(Outline!$C$14&gt;0,Gradesheet!#REF!,"NA")</f>
        <v>#REF!</v>
      </c>
      <c r="G373" s="138" t="e">
        <f>IF(Outline!$C$14&gt;0,Gradesheet!#REF!,Gradesheet!#REF!)</f>
        <v>#REF!</v>
      </c>
      <c r="H373" s="139" t="e">
        <f t="shared" si="6"/>
        <v>#REF!</v>
      </c>
    </row>
    <row r="374" spans="2:8" hidden="1" x14ac:dyDescent="0.25">
      <c r="B374" s="90" t="e">
        <f>Gradesheet!#REF!</f>
        <v>#REF!</v>
      </c>
      <c r="C374" s="91" t="e">
        <f>(Gradesheet!#REF!)</f>
        <v>#REF!</v>
      </c>
      <c r="D374" s="92" t="e">
        <f>IF(Outline!$C$14&gt;0,Gradesheet!#REF!,Gradesheet!#REF!)</f>
        <v>#REF!</v>
      </c>
      <c r="E374" s="138" t="e">
        <f>IF(Outline!$C$14&gt;0,Gradesheet!#REF!,Gradesheet!#REF!)</f>
        <v>#REF!</v>
      </c>
      <c r="F374" s="138" t="e">
        <f>IF(Outline!$C$14&gt;0,Gradesheet!#REF!,"NA")</f>
        <v>#REF!</v>
      </c>
      <c r="G374" s="138" t="e">
        <f>IF(Outline!$C$14&gt;0,Gradesheet!#REF!,Gradesheet!#REF!)</f>
        <v>#REF!</v>
      </c>
      <c r="H374" s="139" t="e">
        <f t="shared" si="6"/>
        <v>#REF!</v>
      </c>
    </row>
    <row r="375" spans="2:8" hidden="1" x14ac:dyDescent="0.25">
      <c r="B375" s="90" t="e">
        <f>Gradesheet!#REF!</f>
        <v>#REF!</v>
      </c>
      <c r="C375" s="91" t="e">
        <f>(Gradesheet!#REF!)</f>
        <v>#REF!</v>
      </c>
      <c r="D375" s="92" t="e">
        <f>IF(Outline!$C$14&gt;0,Gradesheet!#REF!,Gradesheet!#REF!)</f>
        <v>#REF!</v>
      </c>
      <c r="E375" s="138" t="e">
        <f>IF(Outline!$C$14&gt;0,Gradesheet!#REF!,Gradesheet!#REF!)</f>
        <v>#REF!</v>
      </c>
      <c r="F375" s="138" t="e">
        <f>IF(Outline!$C$14&gt;0,Gradesheet!#REF!,"NA")</f>
        <v>#REF!</v>
      </c>
      <c r="G375" s="138" t="e">
        <f>IF(Outline!$C$14&gt;0,Gradesheet!#REF!,Gradesheet!#REF!)</f>
        <v>#REF!</v>
      </c>
      <c r="H375" s="139" t="e">
        <f t="shared" si="6"/>
        <v>#REF!</v>
      </c>
    </row>
    <row r="376" spans="2:8" hidden="1" x14ac:dyDescent="0.25">
      <c r="B376" s="90" t="e">
        <f>Gradesheet!#REF!</f>
        <v>#REF!</v>
      </c>
      <c r="C376" s="91" t="e">
        <f>(Gradesheet!#REF!)</f>
        <v>#REF!</v>
      </c>
      <c r="D376" s="92" t="e">
        <f>IF(Outline!$C$14&gt;0,Gradesheet!#REF!,Gradesheet!#REF!)</f>
        <v>#REF!</v>
      </c>
      <c r="E376" s="138" t="e">
        <f>IF(Outline!$C$14&gt;0,Gradesheet!#REF!,Gradesheet!#REF!)</f>
        <v>#REF!</v>
      </c>
      <c r="F376" s="138" t="e">
        <f>IF(Outline!$C$14&gt;0,Gradesheet!#REF!,"NA")</f>
        <v>#REF!</v>
      </c>
      <c r="G376" s="138" t="e">
        <f>IF(Outline!$C$14&gt;0,Gradesheet!#REF!,Gradesheet!#REF!)</f>
        <v>#REF!</v>
      </c>
      <c r="H376" s="139" t="e">
        <f t="shared" si="6"/>
        <v>#REF!</v>
      </c>
    </row>
    <row r="377" spans="2:8" hidden="1" x14ac:dyDescent="0.25">
      <c r="B377" s="90" t="e">
        <f>Gradesheet!#REF!</f>
        <v>#REF!</v>
      </c>
      <c r="C377" s="91" t="e">
        <f>(Gradesheet!#REF!)</f>
        <v>#REF!</v>
      </c>
      <c r="D377" s="92" t="e">
        <f>IF(Outline!$C$14&gt;0,Gradesheet!#REF!,Gradesheet!#REF!)</f>
        <v>#REF!</v>
      </c>
      <c r="E377" s="138" t="e">
        <f>IF(Outline!$C$14&gt;0,Gradesheet!#REF!,Gradesheet!#REF!)</f>
        <v>#REF!</v>
      </c>
      <c r="F377" s="138" t="e">
        <f>IF(Outline!$C$14&gt;0,Gradesheet!#REF!,"NA")</f>
        <v>#REF!</v>
      </c>
      <c r="G377" s="138" t="e">
        <f>IF(Outline!$C$14&gt;0,Gradesheet!#REF!,Gradesheet!#REF!)</f>
        <v>#REF!</v>
      </c>
      <c r="H377" s="139" t="e">
        <f t="shared" si="6"/>
        <v>#REF!</v>
      </c>
    </row>
    <row r="378" spans="2:8" hidden="1" x14ac:dyDescent="0.25">
      <c r="B378" s="90" t="e">
        <f>Gradesheet!#REF!</f>
        <v>#REF!</v>
      </c>
      <c r="C378" s="91" t="e">
        <f>(Gradesheet!#REF!)</f>
        <v>#REF!</v>
      </c>
      <c r="D378" s="92" t="e">
        <f>IF(Outline!$C$14&gt;0,Gradesheet!#REF!,Gradesheet!#REF!)</f>
        <v>#REF!</v>
      </c>
      <c r="E378" s="138" t="e">
        <f>IF(Outline!$C$14&gt;0,Gradesheet!#REF!,Gradesheet!#REF!)</f>
        <v>#REF!</v>
      </c>
      <c r="F378" s="138" t="e">
        <f>IF(Outline!$C$14&gt;0,Gradesheet!#REF!,"NA")</f>
        <v>#REF!</v>
      </c>
      <c r="G378" s="138" t="e">
        <f>IF(Outline!$C$14&gt;0,Gradesheet!#REF!,Gradesheet!#REF!)</f>
        <v>#REF!</v>
      </c>
      <c r="H378" s="139" t="e">
        <f t="shared" si="6"/>
        <v>#REF!</v>
      </c>
    </row>
    <row r="379" spans="2:8" hidden="1" x14ac:dyDescent="0.25">
      <c r="B379" s="90" t="e">
        <f>Gradesheet!#REF!</f>
        <v>#REF!</v>
      </c>
      <c r="C379" s="91" t="e">
        <f>(Gradesheet!#REF!)</f>
        <v>#REF!</v>
      </c>
      <c r="D379" s="92" t="e">
        <f>IF(Outline!$C$14&gt;0,Gradesheet!#REF!,Gradesheet!#REF!)</f>
        <v>#REF!</v>
      </c>
      <c r="E379" s="138" t="e">
        <f>IF(Outline!$C$14&gt;0,Gradesheet!#REF!,Gradesheet!#REF!)</f>
        <v>#REF!</v>
      </c>
      <c r="F379" s="138" t="e">
        <f>IF(Outline!$C$14&gt;0,Gradesheet!#REF!,"NA")</f>
        <v>#REF!</v>
      </c>
      <c r="G379" s="138" t="e">
        <f>IF(Outline!$C$14&gt;0,Gradesheet!#REF!,Gradesheet!#REF!)</f>
        <v>#REF!</v>
      </c>
      <c r="H379" s="139" t="e">
        <f t="shared" si="6"/>
        <v>#REF!</v>
      </c>
    </row>
    <row r="380" spans="2:8" hidden="1" x14ac:dyDescent="0.25">
      <c r="B380" s="90" t="e">
        <f>Gradesheet!#REF!</f>
        <v>#REF!</v>
      </c>
      <c r="C380" s="91" t="e">
        <f>(Gradesheet!#REF!)</f>
        <v>#REF!</v>
      </c>
      <c r="D380" s="92" t="e">
        <f>IF(Outline!$C$14&gt;0,Gradesheet!#REF!,Gradesheet!#REF!)</f>
        <v>#REF!</v>
      </c>
      <c r="E380" s="138" t="e">
        <f>IF(Outline!$C$14&gt;0,Gradesheet!#REF!,Gradesheet!#REF!)</f>
        <v>#REF!</v>
      </c>
      <c r="F380" s="138" t="e">
        <f>IF(Outline!$C$14&gt;0,Gradesheet!#REF!,"NA")</f>
        <v>#REF!</v>
      </c>
      <c r="G380" s="138" t="e">
        <f>IF(Outline!$C$14&gt;0,Gradesheet!#REF!,Gradesheet!#REF!)</f>
        <v>#REF!</v>
      </c>
      <c r="H380" s="139" t="e">
        <f t="shared" si="6"/>
        <v>#REF!</v>
      </c>
    </row>
    <row r="381" spans="2:8" hidden="1" x14ac:dyDescent="0.25">
      <c r="B381" s="90" t="e">
        <f>Gradesheet!#REF!</f>
        <v>#REF!</v>
      </c>
      <c r="C381" s="91" t="e">
        <f>(Gradesheet!#REF!)</f>
        <v>#REF!</v>
      </c>
      <c r="D381" s="92" t="e">
        <f>IF(Outline!$C$14&gt;0,Gradesheet!#REF!,Gradesheet!#REF!)</f>
        <v>#REF!</v>
      </c>
      <c r="E381" s="138" t="e">
        <f>IF(Outline!$C$14&gt;0,Gradesheet!#REF!,Gradesheet!#REF!)</f>
        <v>#REF!</v>
      </c>
      <c r="F381" s="138" t="e">
        <f>IF(Outline!$C$14&gt;0,Gradesheet!#REF!,"NA")</f>
        <v>#REF!</v>
      </c>
      <c r="G381" s="138" t="e">
        <f>IF(Outline!$C$14&gt;0,Gradesheet!#REF!,Gradesheet!#REF!)</f>
        <v>#REF!</v>
      </c>
      <c r="H381" s="139" t="e">
        <f t="shared" si="6"/>
        <v>#REF!</v>
      </c>
    </row>
    <row r="382" spans="2:8" hidden="1" x14ac:dyDescent="0.25">
      <c r="B382" s="90" t="e">
        <f>Gradesheet!#REF!</f>
        <v>#REF!</v>
      </c>
      <c r="C382" s="91" t="e">
        <f>(Gradesheet!#REF!)</f>
        <v>#REF!</v>
      </c>
      <c r="D382" s="92" t="e">
        <f>IF(Outline!$C$14&gt;0,Gradesheet!#REF!,Gradesheet!#REF!)</f>
        <v>#REF!</v>
      </c>
      <c r="E382" s="138" t="e">
        <f>IF(Outline!$C$14&gt;0,Gradesheet!#REF!,Gradesheet!#REF!)</f>
        <v>#REF!</v>
      </c>
      <c r="F382" s="138" t="e">
        <f>IF(Outline!$C$14&gt;0,Gradesheet!#REF!,"NA")</f>
        <v>#REF!</v>
      </c>
      <c r="G382" s="138" t="e">
        <f>IF(Outline!$C$14&gt;0,Gradesheet!#REF!,Gradesheet!#REF!)</f>
        <v>#REF!</v>
      </c>
      <c r="H382" s="139" t="e">
        <f t="shared" si="6"/>
        <v>#REF!</v>
      </c>
    </row>
    <row r="383" spans="2:8" hidden="1" x14ac:dyDescent="0.25">
      <c r="B383" s="90" t="e">
        <f>Gradesheet!#REF!</f>
        <v>#REF!</v>
      </c>
      <c r="C383" s="91" t="e">
        <f>(Gradesheet!#REF!)</f>
        <v>#REF!</v>
      </c>
      <c r="D383" s="92" t="e">
        <f>IF(Outline!$C$14&gt;0,Gradesheet!#REF!,Gradesheet!#REF!)</f>
        <v>#REF!</v>
      </c>
      <c r="E383" s="138" t="e">
        <f>IF(Outline!$C$14&gt;0,Gradesheet!#REF!,Gradesheet!#REF!)</f>
        <v>#REF!</v>
      </c>
      <c r="F383" s="138" t="e">
        <f>IF(Outline!$C$14&gt;0,Gradesheet!#REF!,"NA")</f>
        <v>#REF!</v>
      </c>
      <c r="G383" s="138" t="e">
        <f>IF(Outline!$C$14&gt;0,Gradesheet!#REF!,Gradesheet!#REF!)</f>
        <v>#REF!</v>
      </c>
      <c r="H383" s="139" t="e">
        <f t="shared" si="6"/>
        <v>#REF!</v>
      </c>
    </row>
    <row r="384" spans="2:8" hidden="1" x14ac:dyDescent="0.25">
      <c r="B384" s="90" t="e">
        <f>Gradesheet!#REF!</f>
        <v>#REF!</v>
      </c>
      <c r="C384" s="91" t="e">
        <f>(Gradesheet!#REF!)</f>
        <v>#REF!</v>
      </c>
      <c r="D384" s="92" t="e">
        <f>IF(Outline!$C$14&gt;0,Gradesheet!#REF!,Gradesheet!#REF!)</f>
        <v>#REF!</v>
      </c>
      <c r="E384" s="138" t="e">
        <f>IF(Outline!$C$14&gt;0,Gradesheet!#REF!,Gradesheet!#REF!)</f>
        <v>#REF!</v>
      </c>
      <c r="F384" s="138" t="e">
        <f>IF(Outline!$C$14&gt;0,Gradesheet!#REF!,"NA")</f>
        <v>#REF!</v>
      </c>
      <c r="G384" s="138" t="e">
        <f>IF(Outline!$C$14&gt;0,Gradesheet!#REF!,Gradesheet!#REF!)</f>
        <v>#REF!</v>
      </c>
      <c r="H384" s="139" t="e">
        <f t="shared" si="6"/>
        <v>#REF!</v>
      </c>
    </row>
    <row r="385" spans="2:8" hidden="1" x14ac:dyDescent="0.25">
      <c r="B385" s="90" t="e">
        <f>Gradesheet!#REF!</f>
        <v>#REF!</v>
      </c>
      <c r="C385" s="91" t="e">
        <f>(Gradesheet!#REF!)</f>
        <v>#REF!</v>
      </c>
      <c r="D385" s="92" t="e">
        <f>IF(Outline!$C$14&gt;0,Gradesheet!#REF!,Gradesheet!#REF!)</f>
        <v>#REF!</v>
      </c>
      <c r="E385" s="138" t="e">
        <f>IF(Outline!$C$14&gt;0,Gradesheet!#REF!,Gradesheet!#REF!)</f>
        <v>#REF!</v>
      </c>
      <c r="F385" s="138" t="e">
        <f>IF(Outline!$C$14&gt;0,Gradesheet!#REF!,"NA")</f>
        <v>#REF!</v>
      </c>
      <c r="G385" s="138" t="e">
        <f>IF(Outline!$C$14&gt;0,Gradesheet!#REF!,Gradesheet!#REF!)</f>
        <v>#REF!</v>
      </c>
      <c r="H385" s="139" t="e">
        <f t="shared" si="6"/>
        <v>#REF!</v>
      </c>
    </row>
    <row r="386" spans="2:8" hidden="1" x14ac:dyDescent="0.25">
      <c r="B386" s="90" t="e">
        <f>Gradesheet!#REF!</f>
        <v>#REF!</v>
      </c>
      <c r="C386" s="91" t="e">
        <f>(Gradesheet!#REF!)</f>
        <v>#REF!</v>
      </c>
      <c r="D386" s="92" t="e">
        <f>IF(Outline!$C$14&gt;0,Gradesheet!#REF!,Gradesheet!#REF!)</f>
        <v>#REF!</v>
      </c>
      <c r="E386" s="138" t="e">
        <f>IF(Outline!$C$14&gt;0,Gradesheet!#REF!,Gradesheet!#REF!)</f>
        <v>#REF!</v>
      </c>
      <c r="F386" s="138" t="e">
        <f>IF(Outline!$C$14&gt;0,Gradesheet!#REF!,"NA")</f>
        <v>#REF!</v>
      </c>
      <c r="G386" s="138" t="e">
        <f>IF(Outline!$C$14&gt;0,Gradesheet!#REF!,Gradesheet!#REF!)</f>
        <v>#REF!</v>
      </c>
      <c r="H386" s="139" t="e">
        <f t="shared" si="6"/>
        <v>#REF!</v>
      </c>
    </row>
    <row r="387" spans="2:8" hidden="1" x14ac:dyDescent="0.25">
      <c r="B387" s="90" t="e">
        <f>Gradesheet!#REF!</f>
        <v>#REF!</v>
      </c>
      <c r="C387" s="91" t="e">
        <f>(Gradesheet!#REF!)</f>
        <v>#REF!</v>
      </c>
      <c r="D387" s="92" t="e">
        <f>IF(Outline!$C$14&gt;0,Gradesheet!#REF!,Gradesheet!#REF!)</f>
        <v>#REF!</v>
      </c>
      <c r="E387" s="138" t="e">
        <f>IF(Outline!$C$14&gt;0,Gradesheet!#REF!,Gradesheet!#REF!)</f>
        <v>#REF!</v>
      </c>
      <c r="F387" s="138" t="e">
        <f>IF(Outline!$C$14&gt;0,Gradesheet!#REF!,"NA")</f>
        <v>#REF!</v>
      </c>
      <c r="G387" s="138" t="e">
        <f>IF(Outline!$C$14&gt;0,Gradesheet!#REF!,Gradesheet!#REF!)</f>
        <v>#REF!</v>
      </c>
      <c r="H387" s="139" t="e">
        <f t="shared" si="6"/>
        <v>#REF!</v>
      </c>
    </row>
    <row r="388" spans="2:8" hidden="1" x14ac:dyDescent="0.25">
      <c r="B388" s="90" t="e">
        <f>Gradesheet!#REF!</f>
        <v>#REF!</v>
      </c>
      <c r="C388" s="91" t="e">
        <f>(Gradesheet!#REF!)</f>
        <v>#REF!</v>
      </c>
      <c r="D388" s="92" t="e">
        <f>IF(Outline!$C$14&gt;0,Gradesheet!#REF!,Gradesheet!#REF!)</f>
        <v>#REF!</v>
      </c>
      <c r="E388" s="138" t="e">
        <f>IF(Outline!$C$14&gt;0,Gradesheet!#REF!,Gradesheet!#REF!)</f>
        <v>#REF!</v>
      </c>
      <c r="F388" s="138" t="e">
        <f>IF(Outline!$C$14&gt;0,Gradesheet!#REF!,"NA")</f>
        <v>#REF!</v>
      </c>
      <c r="G388" s="138" t="e">
        <f>IF(Outline!$C$14&gt;0,Gradesheet!#REF!,Gradesheet!#REF!)</f>
        <v>#REF!</v>
      </c>
      <c r="H388" s="139" t="e">
        <f t="shared" si="6"/>
        <v>#REF!</v>
      </c>
    </row>
    <row r="389" spans="2:8" hidden="1" x14ac:dyDescent="0.25">
      <c r="B389" s="90" t="e">
        <f>Gradesheet!#REF!</f>
        <v>#REF!</v>
      </c>
      <c r="C389" s="91" t="e">
        <f>(Gradesheet!#REF!)</f>
        <v>#REF!</v>
      </c>
      <c r="D389" s="92" t="e">
        <f>IF(Outline!$C$14&gt;0,Gradesheet!#REF!,Gradesheet!#REF!)</f>
        <v>#REF!</v>
      </c>
      <c r="E389" s="138" t="e">
        <f>IF(Outline!$C$14&gt;0,Gradesheet!#REF!,Gradesheet!#REF!)</f>
        <v>#REF!</v>
      </c>
      <c r="F389" s="138" t="e">
        <f>IF(Outline!$C$14&gt;0,Gradesheet!#REF!,"NA")</f>
        <v>#REF!</v>
      </c>
      <c r="G389" s="138" t="e">
        <f>IF(Outline!$C$14&gt;0,Gradesheet!#REF!,Gradesheet!#REF!)</f>
        <v>#REF!</v>
      </c>
      <c r="H389" s="139" t="e">
        <f t="shared" si="6"/>
        <v>#REF!</v>
      </c>
    </row>
    <row r="390" spans="2:8" hidden="1" x14ac:dyDescent="0.25">
      <c r="B390" s="90" t="e">
        <f>Gradesheet!#REF!</f>
        <v>#REF!</v>
      </c>
      <c r="C390" s="91" t="e">
        <f>(Gradesheet!#REF!)</f>
        <v>#REF!</v>
      </c>
      <c r="D390" s="92" t="e">
        <f>IF(Outline!$C$14&gt;0,Gradesheet!#REF!,Gradesheet!#REF!)</f>
        <v>#REF!</v>
      </c>
      <c r="E390" s="138" t="e">
        <f>IF(Outline!$C$14&gt;0,Gradesheet!#REF!,Gradesheet!#REF!)</f>
        <v>#REF!</v>
      </c>
      <c r="F390" s="138" t="e">
        <f>IF(Outline!$C$14&gt;0,Gradesheet!#REF!,"NA")</f>
        <v>#REF!</v>
      </c>
      <c r="G390" s="138" t="e">
        <f>IF(Outline!$C$14&gt;0,Gradesheet!#REF!,Gradesheet!#REF!)</f>
        <v>#REF!</v>
      </c>
      <c r="H390" s="139" t="e">
        <f t="shared" si="6"/>
        <v>#REF!</v>
      </c>
    </row>
    <row r="391" spans="2:8" hidden="1" x14ac:dyDescent="0.25">
      <c r="B391" s="90" t="e">
        <f>Gradesheet!#REF!</f>
        <v>#REF!</v>
      </c>
      <c r="C391" s="91" t="e">
        <f>(Gradesheet!#REF!)</f>
        <v>#REF!</v>
      </c>
      <c r="D391" s="92" t="e">
        <f>IF(Outline!$C$14&gt;0,Gradesheet!#REF!,Gradesheet!#REF!)</f>
        <v>#REF!</v>
      </c>
      <c r="E391" s="138" t="e">
        <f>IF(Outline!$C$14&gt;0,Gradesheet!#REF!,Gradesheet!#REF!)</f>
        <v>#REF!</v>
      </c>
      <c r="F391" s="138" t="e">
        <f>IF(Outline!$C$14&gt;0,Gradesheet!#REF!,"NA")</f>
        <v>#REF!</v>
      </c>
      <c r="G391" s="138" t="e">
        <f>IF(Outline!$C$14&gt;0,Gradesheet!#REF!,Gradesheet!#REF!)</f>
        <v>#REF!</v>
      </c>
      <c r="H391" s="139" t="e">
        <f t="shared" ref="H391:H454" si="7">SUM(D391:G391)</f>
        <v>#REF!</v>
      </c>
    </row>
    <row r="392" spans="2:8" hidden="1" x14ac:dyDescent="0.25">
      <c r="B392" s="90" t="e">
        <f>Gradesheet!#REF!</f>
        <v>#REF!</v>
      </c>
      <c r="C392" s="91" t="e">
        <f>(Gradesheet!#REF!)</f>
        <v>#REF!</v>
      </c>
      <c r="D392" s="92" t="e">
        <f>IF(Outline!$C$14&gt;0,Gradesheet!#REF!,Gradesheet!#REF!)</f>
        <v>#REF!</v>
      </c>
      <c r="E392" s="138" t="e">
        <f>IF(Outline!$C$14&gt;0,Gradesheet!#REF!,Gradesheet!#REF!)</f>
        <v>#REF!</v>
      </c>
      <c r="F392" s="138" t="e">
        <f>IF(Outline!$C$14&gt;0,Gradesheet!#REF!,"NA")</f>
        <v>#REF!</v>
      </c>
      <c r="G392" s="138" t="e">
        <f>IF(Outline!$C$14&gt;0,Gradesheet!#REF!,Gradesheet!#REF!)</f>
        <v>#REF!</v>
      </c>
      <c r="H392" s="139" t="e">
        <f t="shared" si="7"/>
        <v>#REF!</v>
      </c>
    </row>
    <row r="393" spans="2:8" hidden="1" x14ac:dyDescent="0.25">
      <c r="B393" s="90" t="e">
        <f>Gradesheet!#REF!</f>
        <v>#REF!</v>
      </c>
      <c r="C393" s="91" t="e">
        <f>(Gradesheet!#REF!)</f>
        <v>#REF!</v>
      </c>
      <c r="D393" s="92" t="e">
        <f>IF(Outline!$C$14&gt;0,Gradesheet!#REF!,Gradesheet!#REF!)</f>
        <v>#REF!</v>
      </c>
      <c r="E393" s="138" t="e">
        <f>IF(Outline!$C$14&gt;0,Gradesheet!#REF!,Gradesheet!#REF!)</f>
        <v>#REF!</v>
      </c>
      <c r="F393" s="138" t="e">
        <f>IF(Outline!$C$14&gt;0,Gradesheet!#REF!,"NA")</f>
        <v>#REF!</v>
      </c>
      <c r="G393" s="138" t="e">
        <f>IF(Outline!$C$14&gt;0,Gradesheet!#REF!,Gradesheet!#REF!)</f>
        <v>#REF!</v>
      </c>
      <c r="H393" s="139" t="e">
        <f t="shared" si="7"/>
        <v>#REF!</v>
      </c>
    </row>
    <row r="394" spans="2:8" hidden="1" x14ac:dyDescent="0.25">
      <c r="B394" s="90" t="e">
        <f>Gradesheet!#REF!</f>
        <v>#REF!</v>
      </c>
      <c r="C394" s="91" t="e">
        <f>(Gradesheet!#REF!)</f>
        <v>#REF!</v>
      </c>
      <c r="D394" s="92" t="e">
        <f>IF(Outline!$C$14&gt;0,Gradesheet!#REF!,Gradesheet!#REF!)</f>
        <v>#REF!</v>
      </c>
      <c r="E394" s="138" t="e">
        <f>IF(Outline!$C$14&gt;0,Gradesheet!#REF!,Gradesheet!#REF!)</f>
        <v>#REF!</v>
      </c>
      <c r="F394" s="138" t="e">
        <f>IF(Outline!$C$14&gt;0,Gradesheet!#REF!,"NA")</f>
        <v>#REF!</v>
      </c>
      <c r="G394" s="138" t="e">
        <f>IF(Outline!$C$14&gt;0,Gradesheet!#REF!,Gradesheet!#REF!)</f>
        <v>#REF!</v>
      </c>
      <c r="H394" s="139" t="e">
        <f t="shared" si="7"/>
        <v>#REF!</v>
      </c>
    </row>
    <row r="395" spans="2:8" hidden="1" x14ac:dyDescent="0.25">
      <c r="B395" s="90" t="e">
        <f>Gradesheet!#REF!</f>
        <v>#REF!</v>
      </c>
      <c r="C395" s="91" t="e">
        <f>(Gradesheet!#REF!)</f>
        <v>#REF!</v>
      </c>
      <c r="D395" s="92" t="e">
        <f>IF(Outline!$C$14&gt;0,Gradesheet!#REF!,Gradesheet!#REF!)</f>
        <v>#REF!</v>
      </c>
      <c r="E395" s="138" t="e">
        <f>IF(Outline!$C$14&gt;0,Gradesheet!#REF!,Gradesheet!#REF!)</f>
        <v>#REF!</v>
      </c>
      <c r="F395" s="138" t="e">
        <f>IF(Outline!$C$14&gt;0,Gradesheet!#REF!,"NA")</f>
        <v>#REF!</v>
      </c>
      <c r="G395" s="138" t="e">
        <f>IF(Outline!$C$14&gt;0,Gradesheet!#REF!,Gradesheet!#REF!)</f>
        <v>#REF!</v>
      </c>
      <c r="H395" s="139" t="e">
        <f t="shared" si="7"/>
        <v>#REF!</v>
      </c>
    </row>
    <row r="396" spans="2:8" hidden="1" x14ac:dyDescent="0.25">
      <c r="B396" s="90" t="e">
        <f>Gradesheet!#REF!</f>
        <v>#REF!</v>
      </c>
      <c r="C396" s="91" t="e">
        <f>(Gradesheet!#REF!)</f>
        <v>#REF!</v>
      </c>
      <c r="D396" s="92" t="e">
        <f>IF(Outline!$C$14&gt;0,Gradesheet!#REF!,Gradesheet!#REF!)</f>
        <v>#REF!</v>
      </c>
      <c r="E396" s="138" t="e">
        <f>IF(Outline!$C$14&gt;0,Gradesheet!#REF!,Gradesheet!#REF!)</f>
        <v>#REF!</v>
      </c>
      <c r="F396" s="138" t="e">
        <f>IF(Outline!$C$14&gt;0,Gradesheet!#REF!,"NA")</f>
        <v>#REF!</v>
      </c>
      <c r="G396" s="138" t="e">
        <f>IF(Outline!$C$14&gt;0,Gradesheet!#REF!,Gradesheet!#REF!)</f>
        <v>#REF!</v>
      </c>
      <c r="H396" s="139" t="e">
        <f t="shared" si="7"/>
        <v>#REF!</v>
      </c>
    </row>
    <row r="397" spans="2:8" hidden="1" x14ac:dyDescent="0.25">
      <c r="B397" s="90" t="e">
        <f>Gradesheet!#REF!</f>
        <v>#REF!</v>
      </c>
      <c r="C397" s="91" t="e">
        <f>(Gradesheet!#REF!)</f>
        <v>#REF!</v>
      </c>
      <c r="D397" s="92" t="e">
        <f>IF(Outline!$C$14&gt;0,Gradesheet!#REF!,Gradesheet!#REF!)</f>
        <v>#REF!</v>
      </c>
      <c r="E397" s="138" t="e">
        <f>IF(Outline!$C$14&gt;0,Gradesheet!#REF!,Gradesheet!#REF!)</f>
        <v>#REF!</v>
      </c>
      <c r="F397" s="138" t="e">
        <f>IF(Outline!$C$14&gt;0,Gradesheet!#REF!,"NA")</f>
        <v>#REF!</v>
      </c>
      <c r="G397" s="138" t="e">
        <f>IF(Outline!$C$14&gt;0,Gradesheet!#REF!,Gradesheet!#REF!)</f>
        <v>#REF!</v>
      </c>
      <c r="H397" s="139" t="e">
        <f t="shared" si="7"/>
        <v>#REF!</v>
      </c>
    </row>
    <row r="398" spans="2:8" hidden="1" x14ac:dyDescent="0.25">
      <c r="B398" s="90" t="e">
        <f>Gradesheet!#REF!</f>
        <v>#REF!</v>
      </c>
      <c r="C398" s="91" t="e">
        <f>(Gradesheet!#REF!)</f>
        <v>#REF!</v>
      </c>
      <c r="D398" s="92" t="e">
        <f>IF(Outline!$C$14&gt;0,Gradesheet!#REF!,Gradesheet!#REF!)</f>
        <v>#REF!</v>
      </c>
      <c r="E398" s="138" t="e">
        <f>IF(Outline!$C$14&gt;0,Gradesheet!#REF!,Gradesheet!#REF!)</f>
        <v>#REF!</v>
      </c>
      <c r="F398" s="138" t="e">
        <f>IF(Outline!$C$14&gt;0,Gradesheet!#REF!,"NA")</f>
        <v>#REF!</v>
      </c>
      <c r="G398" s="138" t="e">
        <f>IF(Outline!$C$14&gt;0,Gradesheet!#REF!,Gradesheet!#REF!)</f>
        <v>#REF!</v>
      </c>
      <c r="H398" s="139" t="e">
        <f t="shared" si="7"/>
        <v>#REF!</v>
      </c>
    </row>
    <row r="399" spans="2:8" hidden="1" x14ac:dyDescent="0.25">
      <c r="B399" s="90" t="e">
        <f>Gradesheet!#REF!</f>
        <v>#REF!</v>
      </c>
      <c r="C399" s="91" t="e">
        <f>(Gradesheet!#REF!)</f>
        <v>#REF!</v>
      </c>
      <c r="D399" s="92" t="e">
        <f>IF(Outline!$C$14&gt;0,Gradesheet!#REF!,Gradesheet!#REF!)</f>
        <v>#REF!</v>
      </c>
      <c r="E399" s="138" t="e">
        <f>IF(Outline!$C$14&gt;0,Gradesheet!#REF!,Gradesheet!#REF!)</f>
        <v>#REF!</v>
      </c>
      <c r="F399" s="138" t="e">
        <f>IF(Outline!$C$14&gt;0,Gradesheet!#REF!,"NA")</f>
        <v>#REF!</v>
      </c>
      <c r="G399" s="138" t="e">
        <f>IF(Outline!$C$14&gt;0,Gradesheet!#REF!,Gradesheet!#REF!)</f>
        <v>#REF!</v>
      </c>
      <c r="H399" s="139" t="e">
        <f t="shared" si="7"/>
        <v>#REF!</v>
      </c>
    </row>
    <row r="400" spans="2:8" hidden="1" x14ac:dyDescent="0.25">
      <c r="B400" s="90" t="e">
        <f>Gradesheet!#REF!</f>
        <v>#REF!</v>
      </c>
      <c r="C400" s="91" t="e">
        <f>(Gradesheet!#REF!)</f>
        <v>#REF!</v>
      </c>
      <c r="D400" s="92" t="e">
        <f>IF(Outline!$C$14&gt;0,Gradesheet!#REF!,Gradesheet!#REF!)</f>
        <v>#REF!</v>
      </c>
      <c r="E400" s="138" t="e">
        <f>IF(Outline!$C$14&gt;0,Gradesheet!#REF!,Gradesheet!#REF!)</f>
        <v>#REF!</v>
      </c>
      <c r="F400" s="138" t="e">
        <f>IF(Outline!$C$14&gt;0,Gradesheet!#REF!,"NA")</f>
        <v>#REF!</v>
      </c>
      <c r="G400" s="138" t="e">
        <f>IF(Outline!$C$14&gt;0,Gradesheet!#REF!,Gradesheet!#REF!)</f>
        <v>#REF!</v>
      </c>
      <c r="H400" s="139" t="e">
        <f t="shared" si="7"/>
        <v>#REF!</v>
      </c>
    </row>
    <row r="401" spans="2:8" hidden="1" x14ac:dyDescent="0.25">
      <c r="B401" s="90" t="e">
        <f>Gradesheet!#REF!</f>
        <v>#REF!</v>
      </c>
      <c r="C401" s="91" t="e">
        <f>(Gradesheet!#REF!)</f>
        <v>#REF!</v>
      </c>
      <c r="D401" s="92" t="e">
        <f>IF(Outline!$C$14&gt;0,Gradesheet!#REF!,Gradesheet!#REF!)</f>
        <v>#REF!</v>
      </c>
      <c r="E401" s="138" t="e">
        <f>IF(Outline!$C$14&gt;0,Gradesheet!#REF!,Gradesheet!#REF!)</f>
        <v>#REF!</v>
      </c>
      <c r="F401" s="138" t="e">
        <f>IF(Outline!$C$14&gt;0,Gradesheet!#REF!,"NA")</f>
        <v>#REF!</v>
      </c>
      <c r="G401" s="138" t="e">
        <f>IF(Outline!$C$14&gt;0,Gradesheet!#REF!,Gradesheet!#REF!)</f>
        <v>#REF!</v>
      </c>
      <c r="H401" s="139" t="e">
        <f t="shared" si="7"/>
        <v>#REF!</v>
      </c>
    </row>
    <row r="402" spans="2:8" hidden="1" x14ac:dyDescent="0.25">
      <c r="B402" s="90" t="e">
        <f>Gradesheet!#REF!</f>
        <v>#REF!</v>
      </c>
      <c r="C402" s="91" t="e">
        <f>(Gradesheet!#REF!)</f>
        <v>#REF!</v>
      </c>
      <c r="D402" s="92" t="e">
        <f>IF(Outline!$C$14&gt;0,Gradesheet!#REF!,Gradesheet!#REF!)</f>
        <v>#REF!</v>
      </c>
      <c r="E402" s="138" t="e">
        <f>IF(Outline!$C$14&gt;0,Gradesheet!#REF!,Gradesheet!#REF!)</f>
        <v>#REF!</v>
      </c>
      <c r="F402" s="138" t="e">
        <f>IF(Outline!$C$14&gt;0,Gradesheet!#REF!,"NA")</f>
        <v>#REF!</v>
      </c>
      <c r="G402" s="138" t="e">
        <f>IF(Outline!$C$14&gt;0,Gradesheet!#REF!,Gradesheet!#REF!)</f>
        <v>#REF!</v>
      </c>
      <c r="H402" s="139" t="e">
        <f t="shared" si="7"/>
        <v>#REF!</v>
      </c>
    </row>
    <row r="403" spans="2:8" hidden="1" x14ac:dyDescent="0.25">
      <c r="B403" s="90" t="e">
        <f>Gradesheet!#REF!</f>
        <v>#REF!</v>
      </c>
      <c r="C403" s="91" t="e">
        <f>(Gradesheet!#REF!)</f>
        <v>#REF!</v>
      </c>
      <c r="D403" s="92" t="e">
        <f>IF(Outline!$C$14&gt;0,Gradesheet!#REF!,Gradesheet!#REF!)</f>
        <v>#REF!</v>
      </c>
      <c r="E403" s="138" t="e">
        <f>IF(Outline!$C$14&gt;0,Gradesheet!#REF!,Gradesheet!#REF!)</f>
        <v>#REF!</v>
      </c>
      <c r="F403" s="138" t="e">
        <f>IF(Outline!$C$14&gt;0,Gradesheet!#REF!,"NA")</f>
        <v>#REF!</v>
      </c>
      <c r="G403" s="138" t="e">
        <f>IF(Outline!$C$14&gt;0,Gradesheet!#REF!,Gradesheet!#REF!)</f>
        <v>#REF!</v>
      </c>
      <c r="H403" s="139" t="e">
        <f t="shared" si="7"/>
        <v>#REF!</v>
      </c>
    </row>
    <row r="404" spans="2:8" hidden="1" x14ac:dyDescent="0.25">
      <c r="B404" s="90" t="e">
        <f>Gradesheet!#REF!</f>
        <v>#REF!</v>
      </c>
      <c r="C404" s="91" t="e">
        <f>(Gradesheet!#REF!)</f>
        <v>#REF!</v>
      </c>
      <c r="D404" s="92" t="e">
        <f>IF(Outline!$C$14&gt;0,Gradesheet!#REF!,Gradesheet!#REF!)</f>
        <v>#REF!</v>
      </c>
      <c r="E404" s="138" t="e">
        <f>IF(Outline!$C$14&gt;0,Gradesheet!#REF!,Gradesheet!#REF!)</f>
        <v>#REF!</v>
      </c>
      <c r="F404" s="138" t="e">
        <f>IF(Outline!$C$14&gt;0,Gradesheet!#REF!,"NA")</f>
        <v>#REF!</v>
      </c>
      <c r="G404" s="138" t="e">
        <f>IF(Outline!$C$14&gt;0,Gradesheet!#REF!,Gradesheet!#REF!)</f>
        <v>#REF!</v>
      </c>
      <c r="H404" s="139" t="e">
        <f t="shared" si="7"/>
        <v>#REF!</v>
      </c>
    </row>
    <row r="405" spans="2:8" hidden="1" x14ac:dyDescent="0.25">
      <c r="B405" s="90" t="e">
        <f>Gradesheet!#REF!</f>
        <v>#REF!</v>
      </c>
      <c r="C405" s="91" t="e">
        <f>(Gradesheet!#REF!)</f>
        <v>#REF!</v>
      </c>
      <c r="D405" s="92" t="e">
        <f>IF(Outline!$C$14&gt;0,Gradesheet!#REF!,Gradesheet!#REF!)</f>
        <v>#REF!</v>
      </c>
      <c r="E405" s="138" t="e">
        <f>IF(Outline!$C$14&gt;0,Gradesheet!#REF!,Gradesheet!#REF!)</f>
        <v>#REF!</v>
      </c>
      <c r="F405" s="138" t="e">
        <f>IF(Outline!$C$14&gt;0,Gradesheet!#REF!,"NA")</f>
        <v>#REF!</v>
      </c>
      <c r="G405" s="138" t="e">
        <f>IF(Outline!$C$14&gt;0,Gradesheet!#REF!,Gradesheet!#REF!)</f>
        <v>#REF!</v>
      </c>
      <c r="H405" s="139" t="e">
        <f t="shared" si="7"/>
        <v>#REF!</v>
      </c>
    </row>
    <row r="406" spans="2:8" hidden="1" x14ac:dyDescent="0.25">
      <c r="B406" s="90" t="e">
        <f>Gradesheet!#REF!</f>
        <v>#REF!</v>
      </c>
      <c r="C406" s="91" t="e">
        <f>(Gradesheet!#REF!)</f>
        <v>#REF!</v>
      </c>
      <c r="D406" s="92" t="e">
        <f>IF(Outline!$C$14&gt;0,Gradesheet!#REF!,Gradesheet!#REF!)</f>
        <v>#REF!</v>
      </c>
      <c r="E406" s="138" t="e">
        <f>IF(Outline!$C$14&gt;0,Gradesheet!#REF!,Gradesheet!#REF!)</f>
        <v>#REF!</v>
      </c>
      <c r="F406" s="138" t="e">
        <f>IF(Outline!$C$14&gt;0,Gradesheet!#REF!,"NA")</f>
        <v>#REF!</v>
      </c>
      <c r="G406" s="138" t="e">
        <f>IF(Outline!$C$14&gt;0,Gradesheet!#REF!,Gradesheet!#REF!)</f>
        <v>#REF!</v>
      </c>
      <c r="H406" s="139" t="e">
        <f t="shared" si="7"/>
        <v>#REF!</v>
      </c>
    </row>
    <row r="407" spans="2:8" hidden="1" x14ac:dyDescent="0.25">
      <c r="B407" s="90" t="e">
        <f>Gradesheet!#REF!</f>
        <v>#REF!</v>
      </c>
      <c r="C407" s="91" t="e">
        <f>(Gradesheet!#REF!)</f>
        <v>#REF!</v>
      </c>
      <c r="D407" s="92" t="e">
        <f>IF(Outline!$C$14&gt;0,Gradesheet!#REF!,Gradesheet!#REF!)</f>
        <v>#REF!</v>
      </c>
      <c r="E407" s="138" t="e">
        <f>IF(Outline!$C$14&gt;0,Gradesheet!#REF!,Gradesheet!#REF!)</f>
        <v>#REF!</v>
      </c>
      <c r="F407" s="138" t="e">
        <f>IF(Outline!$C$14&gt;0,Gradesheet!#REF!,"NA")</f>
        <v>#REF!</v>
      </c>
      <c r="G407" s="138" t="e">
        <f>IF(Outline!$C$14&gt;0,Gradesheet!#REF!,Gradesheet!#REF!)</f>
        <v>#REF!</v>
      </c>
      <c r="H407" s="139" t="e">
        <f t="shared" si="7"/>
        <v>#REF!</v>
      </c>
    </row>
    <row r="408" spans="2:8" hidden="1" x14ac:dyDescent="0.25">
      <c r="B408" s="90" t="e">
        <f>Gradesheet!#REF!</f>
        <v>#REF!</v>
      </c>
      <c r="C408" s="91" t="e">
        <f>(Gradesheet!#REF!)</f>
        <v>#REF!</v>
      </c>
      <c r="D408" s="92" t="e">
        <f>IF(Outline!$C$14&gt;0,Gradesheet!#REF!,Gradesheet!#REF!)</f>
        <v>#REF!</v>
      </c>
      <c r="E408" s="138" t="e">
        <f>IF(Outline!$C$14&gt;0,Gradesheet!#REF!,Gradesheet!#REF!)</f>
        <v>#REF!</v>
      </c>
      <c r="F408" s="138" t="e">
        <f>IF(Outline!$C$14&gt;0,Gradesheet!#REF!,"NA")</f>
        <v>#REF!</v>
      </c>
      <c r="G408" s="138" t="e">
        <f>IF(Outline!$C$14&gt;0,Gradesheet!#REF!,Gradesheet!#REF!)</f>
        <v>#REF!</v>
      </c>
      <c r="H408" s="139" t="e">
        <f t="shared" si="7"/>
        <v>#REF!</v>
      </c>
    </row>
    <row r="409" spans="2:8" hidden="1" x14ac:dyDescent="0.25">
      <c r="B409" s="90" t="e">
        <f>Gradesheet!#REF!</f>
        <v>#REF!</v>
      </c>
      <c r="C409" s="91" t="e">
        <f>(Gradesheet!#REF!)</f>
        <v>#REF!</v>
      </c>
      <c r="D409" s="92" t="e">
        <f>IF(Outline!$C$14&gt;0,Gradesheet!#REF!,Gradesheet!#REF!)</f>
        <v>#REF!</v>
      </c>
      <c r="E409" s="138" t="e">
        <f>IF(Outline!$C$14&gt;0,Gradesheet!#REF!,Gradesheet!#REF!)</f>
        <v>#REF!</v>
      </c>
      <c r="F409" s="138" t="e">
        <f>IF(Outline!$C$14&gt;0,Gradesheet!#REF!,"NA")</f>
        <v>#REF!</v>
      </c>
      <c r="G409" s="138" t="e">
        <f>IF(Outline!$C$14&gt;0,Gradesheet!#REF!,Gradesheet!#REF!)</f>
        <v>#REF!</v>
      </c>
      <c r="H409" s="139" t="e">
        <f t="shared" si="7"/>
        <v>#REF!</v>
      </c>
    </row>
    <row r="410" spans="2:8" hidden="1" x14ac:dyDescent="0.25">
      <c r="B410" s="90" t="e">
        <f>Gradesheet!#REF!</f>
        <v>#REF!</v>
      </c>
      <c r="C410" s="91" t="e">
        <f>(Gradesheet!#REF!)</f>
        <v>#REF!</v>
      </c>
      <c r="D410" s="92" t="e">
        <f>IF(Outline!$C$14&gt;0,Gradesheet!#REF!,Gradesheet!#REF!)</f>
        <v>#REF!</v>
      </c>
      <c r="E410" s="138" t="e">
        <f>IF(Outline!$C$14&gt;0,Gradesheet!#REF!,Gradesheet!#REF!)</f>
        <v>#REF!</v>
      </c>
      <c r="F410" s="138" t="e">
        <f>IF(Outline!$C$14&gt;0,Gradesheet!#REF!,"NA")</f>
        <v>#REF!</v>
      </c>
      <c r="G410" s="138" t="e">
        <f>IF(Outline!$C$14&gt;0,Gradesheet!#REF!,Gradesheet!#REF!)</f>
        <v>#REF!</v>
      </c>
      <c r="H410" s="139" t="e">
        <f t="shared" si="7"/>
        <v>#REF!</v>
      </c>
    </row>
    <row r="411" spans="2:8" hidden="1" x14ac:dyDescent="0.25">
      <c r="B411" s="90" t="e">
        <f>Gradesheet!#REF!</f>
        <v>#REF!</v>
      </c>
      <c r="C411" s="91" t="e">
        <f>(Gradesheet!#REF!)</f>
        <v>#REF!</v>
      </c>
      <c r="D411" s="92" t="e">
        <f>IF(Outline!$C$14&gt;0,Gradesheet!#REF!,Gradesheet!#REF!)</f>
        <v>#REF!</v>
      </c>
      <c r="E411" s="138" t="e">
        <f>IF(Outline!$C$14&gt;0,Gradesheet!#REF!,Gradesheet!#REF!)</f>
        <v>#REF!</v>
      </c>
      <c r="F411" s="138" t="e">
        <f>IF(Outline!$C$14&gt;0,Gradesheet!#REF!,"NA")</f>
        <v>#REF!</v>
      </c>
      <c r="G411" s="138" t="e">
        <f>IF(Outline!$C$14&gt;0,Gradesheet!#REF!,Gradesheet!#REF!)</f>
        <v>#REF!</v>
      </c>
      <c r="H411" s="139" t="e">
        <f t="shared" si="7"/>
        <v>#REF!</v>
      </c>
    </row>
    <row r="412" spans="2:8" hidden="1" x14ac:dyDescent="0.25">
      <c r="B412" s="90" t="e">
        <f>Gradesheet!#REF!</f>
        <v>#REF!</v>
      </c>
      <c r="C412" s="91" t="e">
        <f>(Gradesheet!#REF!)</f>
        <v>#REF!</v>
      </c>
      <c r="D412" s="92" t="e">
        <f>IF(Outline!$C$14&gt;0,Gradesheet!#REF!,Gradesheet!#REF!)</f>
        <v>#REF!</v>
      </c>
      <c r="E412" s="138" t="e">
        <f>IF(Outline!$C$14&gt;0,Gradesheet!#REF!,Gradesheet!#REF!)</f>
        <v>#REF!</v>
      </c>
      <c r="F412" s="138" t="e">
        <f>IF(Outline!$C$14&gt;0,Gradesheet!#REF!,"NA")</f>
        <v>#REF!</v>
      </c>
      <c r="G412" s="138" t="e">
        <f>IF(Outline!$C$14&gt;0,Gradesheet!#REF!,Gradesheet!#REF!)</f>
        <v>#REF!</v>
      </c>
      <c r="H412" s="139" t="e">
        <f t="shared" si="7"/>
        <v>#REF!</v>
      </c>
    </row>
    <row r="413" spans="2:8" hidden="1" x14ac:dyDescent="0.25">
      <c r="B413" s="90" t="e">
        <f>Gradesheet!#REF!</f>
        <v>#REF!</v>
      </c>
      <c r="C413" s="91" t="e">
        <f>(Gradesheet!#REF!)</f>
        <v>#REF!</v>
      </c>
      <c r="D413" s="92" t="e">
        <f>IF(Outline!$C$14&gt;0,Gradesheet!#REF!,Gradesheet!#REF!)</f>
        <v>#REF!</v>
      </c>
      <c r="E413" s="138" t="e">
        <f>IF(Outline!$C$14&gt;0,Gradesheet!#REF!,Gradesheet!#REF!)</f>
        <v>#REF!</v>
      </c>
      <c r="F413" s="138" t="e">
        <f>IF(Outline!$C$14&gt;0,Gradesheet!#REF!,"NA")</f>
        <v>#REF!</v>
      </c>
      <c r="G413" s="138" t="e">
        <f>IF(Outline!$C$14&gt;0,Gradesheet!#REF!,Gradesheet!#REF!)</f>
        <v>#REF!</v>
      </c>
      <c r="H413" s="139" t="e">
        <f t="shared" si="7"/>
        <v>#REF!</v>
      </c>
    </row>
    <row r="414" spans="2:8" hidden="1" x14ac:dyDescent="0.25">
      <c r="B414" s="90" t="e">
        <f>Gradesheet!#REF!</f>
        <v>#REF!</v>
      </c>
      <c r="C414" s="91" t="e">
        <f>(Gradesheet!#REF!)</f>
        <v>#REF!</v>
      </c>
      <c r="D414" s="92" t="e">
        <f>IF(Outline!$C$14&gt;0,Gradesheet!#REF!,Gradesheet!#REF!)</f>
        <v>#REF!</v>
      </c>
      <c r="E414" s="138" t="e">
        <f>IF(Outline!$C$14&gt;0,Gradesheet!#REF!,Gradesheet!#REF!)</f>
        <v>#REF!</v>
      </c>
      <c r="F414" s="138" t="e">
        <f>IF(Outline!$C$14&gt;0,Gradesheet!#REF!,"NA")</f>
        <v>#REF!</v>
      </c>
      <c r="G414" s="138" t="e">
        <f>IF(Outline!$C$14&gt;0,Gradesheet!#REF!,Gradesheet!#REF!)</f>
        <v>#REF!</v>
      </c>
      <c r="H414" s="139" t="e">
        <f t="shared" si="7"/>
        <v>#REF!</v>
      </c>
    </row>
    <row r="415" spans="2:8" hidden="1" x14ac:dyDescent="0.25">
      <c r="B415" s="90" t="e">
        <f>Gradesheet!#REF!</f>
        <v>#REF!</v>
      </c>
      <c r="C415" s="91" t="e">
        <f>(Gradesheet!#REF!)</f>
        <v>#REF!</v>
      </c>
      <c r="D415" s="92" t="e">
        <f>IF(Outline!$C$14&gt;0,Gradesheet!#REF!,Gradesheet!#REF!)</f>
        <v>#REF!</v>
      </c>
      <c r="E415" s="138" t="e">
        <f>IF(Outline!$C$14&gt;0,Gradesheet!#REF!,Gradesheet!#REF!)</f>
        <v>#REF!</v>
      </c>
      <c r="F415" s="138" t="e">
        <f>IF(Outline!$C$14&gt;0,Gradesheet!#REF!,"NA")</f>
        <v>#REF!</v>
      </c>
      <c r="G415" s="138" t="e">
        <f>IF(Outline!$C$14&gt;0,Gradesheet!#REF!,Gradesheet!#REF!)</f>
        <v>#REF!</v>
      </c>
      <c r="H415" s="139" t="e">
        <f t="shared" si="7"/>
        <v>#REF!</v>
      </c>
    </row>
    <row r="416" spans="2:8" hidden="1" x14ac:dyDescent="0.25">
      <c r="B416" s="90" t="e">
        <f>Gradesheet!#REF!</f>
        <v>#REF!</v>
      </c>
      <c r="C416" s="91" t="e">
        <f>(Gradesheet!#REF!)</f>
        <v>#REF!</v>
      </c>
      <c r="D416" s="92" t="e">
        <f>IF(Outline!$C$14&gt;0,Gradesheet!#REF!,Gradesheet!#REF!)</f>
        <v>#REF!</v>
      </c>
      <c r="E416" s="138" t="e">
        <f>IF(Outline!$C$14&gt;0,Gradesheet!#REF!,Gradesheet!#REF!)</f>
        <v>#REF!</v>
      </c>
      <c r="F416" s="138" t="e">
        <f>IF(Outline!$C$14&gt;0,Gradesheet!#REF!,"NA")</f>
        <v>#REF!</v>
      </c>
      <c r="G416" s="138" t="e">
        <f>IF(Outline!$C$14&gt;0,Gradesheet!#REF!,Gradesheet!#REF!)</f>
        <v>#REF!</v>
      </c>
      <c r="H416" s="139" t="e">
        <f t="shared" si="7"/>
        <v>#REF!</v>
      </c>
    </row>
    <row r="417" spans="2:8" hidden="1" x14ac:dyDescent="0.25">
      <c r="B417" s="90" t="e">
        <f>Gradesheet!#REF!</f>
        <v>#REF!</v>
      </c>
      <c r="C417" s="91" t="e">
        <f>(Gradesheet!#REF!)</f>
        <v>#REF!</v>
      </c>
      <c r="D417" s="92" t="e">
        <f>IF(Outline!$C$14&gt;0,Gradesheet!#REF!,Gradesheet!#REF!)</f>
        <v>#REF!</v>
      </c>
      <c r="E417" s="138" t="e">
        <f>IF(Outline!$C$14&gt;0,Gradesheet!#REF!,Gradesheet!#REF!)</f>
        <v>#REF!</v>
      </c>
      <c r="F417" s="138" t="e">
        <f>IF(Outline!$C$14&gt;0,Gradesheet!#REF!,"NA")</f>
        <v>#REF!</v>
      </c>
      <c r="G417" s="138" t="e">
        <f>IF(Outline!$C$14&gt;0,Gradesheet!#REF!,Gradesheet!#REF!)</f>
        <v>#REF!</v>
      </c>
      <c r="H417" s="139" t="e">
        <f t="shared" si="7"/>
        <v>#REF!</v>
      </c>
    </row>
    <row r="418" spans="2:8" hidden="1" x14ac:dyDescent="0.25">
      <c r="B418" s="90" t="e">
        <f>Gradesheet!#REF!</f>
        <v>#REF!</v>
      </c>
      <c r="C418" s="91" t="e">
        <f>(Gradesheet!#REF!)</f>
        <v>#REF!</v>
      </c>
      <c r="D418" s="92" t="e">
        <f>IF(Outline!$C$14&gt;0,Gradesheet!#REF!,Gradesheet!#REF!)</f>
        <v>#REF!</v>
      </c>
      <c r="E418" s="138" t="e">
        <f>IF(Outline!$C$14&gt;0,Gradesheet!#REF!,Gradesheet!#REF!)</f>
        <v>#REF!</v>
      </c>
      <c r="F418" s="138" t="e">
        <f>IF(Outline!$C$14&gt;0,Gradesheet!#REF!,"NA")</f>
        <v>#REF!</v>
      </c>
      <c r="G418" s="138" t="e">
        <f>IF(Outline!$C$14&gt;0,Gradesheet!#REF!,Gradesheet!#REF!)</f>
        <v>#REF!</v>
      </c>
      <c r="H418" s="139" t="e">
        <f t="shared" si="7"/>
        <v>#REF!</v>
      </c>
    </row>
    <row r="419" spans="2:8" hidden="1" x14ac:dyDescent="0.25">
      <c r="B419" s="90" t="e">
        <f>Gradesheet!#REF!</f>
        <v>#REF!</v>
      </c>
      <c r="C419" s="91" t="e">
        <f>(Gradesheet!#REF!)</f>
        <v>#REF!</v>
      </c>
      <c r="D419" s="92" t="e">
        <f>IF(Outline!$C$14&gt;0,Gradesheet!#REF!,Gradesheet!#REF!)</f>
        <v>#REF!</v>
      </c>
      <c r="E419" s="138" t="e">
        <f>IF(Outline!$C$14&gt;0,Gradesheet!#REF!,Gradesheet!#REF!)</f>
        <v>#REF!</v>
      </c>
      <c r="F419" s="138" t="e">
        <f>IF(Outline!$C$14&gt;0,Gradesheet!#REF!,"NA")</f>
        <v>#REF!</v>
      </c>
      <c r="G419" s="138" t="e">
        <f>IF(Outline!$C$14&gt;0,Gradesheet!#REF!,Gradesheet!#REF!)</f>
        <v>#REF!</v>
      </c>
      <c r="H419" s="139" t="e">
        <f t="shared" si="7"/>
        <v>#REF!</v>
      </c>
    </row>
    <row r="420" spans="2:8" hidden="1" x14ac:dyDescent="0.25">
      <c r="B420" s="90" t="e">
        <f>Gradesheet!#REF!</f>
        <v>#REF!</v>
      </c>
      <c r="C420" s="91" t="e">
        <f>(Gradesheet!#REF!)</f>
        <v>#REF!</v>
      </c>
      <c r="D420" s="92" t="e">
        <f>IF(Outline!$C$14&gt;0,Gradesheet!#REF!,Gradesheet!#REF!)</f>
        <v>#REF!</v>
      </c>
      <c r="E420" s="138" t="e">
        <f>IF(Outline!$C$14&gt;0,Gradesheet!#REF!,Gradesheet!#REF!)</f>
        <v>#REF!</v>
      </c>
      <c r="F420" s="138" t="e">
        <f>IF(Outline!$C$14&gt;0,Gradesheet!#REF!,"NA")</f>
        <v>#REF!</v>
      </c>
      <c r="G420" s="138" t="e">
        <f>IF(Outline!$C$14&gt;0,Gradesheet!#REF!,Gradesheet!#REF!)</f>
        <v>#REF!</v>
      </c>
      <c r="H420" s="139" t="e">
        <f t="shared" si="7"/>
        <v>#REF!</v>
      </c>
    </row>
    <row r="421" spans="2:8" hidden="1" x14ac:dyDescent="0.25">
      <c r="B421" s="90" t="e">
        <f>Gradesheet!#REF!</f>
        <v>#REF!</v>
      </c>
      <c r="C421" s="91" t="e">
        <f>(Gradesheet!#REF!)</f>
        <v>#REF!</v>
      </c>
      <c r="D421" s="92" t="e">
        <f>IF(Outline!$C$14&gt;0,Gradesheet!#REF!,Gradesheet!#REF!)</f>
        <v>#REF!</v>
      </c>
      <c r="E421" s="138" t="e">
        <f>IF(Outline!$C$14&gt;0,Gradesheet!#REF!,Gradesheet!#REF!)</f>
        <v>#REF!</v>
      </c>
      <c r="F421" s="138" t="e">
        <f>IF(Outline!$C$14&gt;0,Gradesheet!#REF!,"NA")</f>
        <v>#REF!</v>
      </c>
      <c r="G421" s="138" t="e">
        <f>IF(Outline!$C$14&gt;0,Gradesheet!#REF!,Gradesheet!#REF!)</f>
        <v>#REF!</v>
      </c>
      <c r="H421" s="139" t="e">
        <f t="shared" si="7"/>
        <v>#REF!</v>
      </c>
    </row>
    <row r="422" spans="2:8" hidden="1" x14ac:dyDescent="0.25">
      <c r="B422" s="90" t="e">
        <f>Gradesheet!#REF!</f>
        <v>#REF!</v>
      </c>
      <c r="C422" s="91" t="e">
        <f>(Gradesheet!#REF!)</f>
        <v>#REF!</v>
      </c>
      <c r="D422" s="92" t="e">
        <f>IF(Outline!$C$14&gt;0,Gradesheet!#REF!,Gradesheet!#REF!)</f>
        <v>#REF!</v>
      </c>
      <c r="E422" s="138" t="e">
        <f>IF(Outline!$C$14&gt;0,Gradesheet!#REF!,Gradesheet!#REF!)</f>
        <v>#REF!</v>
      </c>
      <c r="F422" s="138" t="e">
        <f>IF(Outline!$C$14&gt;0,Gradesheet!#REF!,"NA")</f>
        <v>#REF!</v>
      </c>
      <c r="G422" s="138" t="e">
        <f>IF(Outline!$C$14&gt;0,Gradesheet!#REF!,Gradesheet!#REF!)</f>
        <v>#REF!</v>
      </c>
      <c r="H422" s="139" t="e">
        <f t="shared" si="7"/>
        <v>#REF!</v>
      </c>
    </row>
    <row r="423" spans="2:8" hidden="1" x14ac:dyDescent="0.25">
      <c r="B423" s="90" t="e">
        <f>Gradesheet!#REF!</f>
        <v>#REF!</v>
      </c>
      <c r="C423" s="91" t="e">
        <f>(Gradesheet!#REF!)</f>
        <v>#REF!</v>
      </c>
      <c r="D423" s="92" t="e">
        <f>IF(Outline!$C$14&gt;0,Gradesheet!#REF!,Gradesheet!#REF!)</f>
        <v>#REF!</v>
      </c>
      <c r="E423" s="138" t="e">
        <f>IF(Outline!$C$14&gt;0,Gradesheet!#REF!,Gradesheet!#REF!)</f>
        <v>#REF!</v>
      </c>
      <c r="F423" s="138" t="e">
        <f>IF(Outline!$C$14&gt;0,Gradesheet!#REF!,"NA")</f>
        <v>#REF!</v>
      </c>
      <c r="G423" s="138" t="e">
        <f>IF(Outline!$C$14&gt;0,Gradesheet!#REF!,Gradesheet!#REF!)</f>
        <v>#REF!</v>
      </c>
      <c r="H423" s="139" t="e">
        <f t="shared" si="7"/>
        <v>#REF!</v>
      </c>
    </row>
    <row r="424" spans="2:8" hidden="1" x14ac:dyDescent="0.25">
      <c r="B424" s="90" t="e">
        <f>Gradesheet!#REF!</f>
        <v>#REF!</v>
      </c>
      <c r="C424" s="91" t="e">
        <f>(Gradesheet!#REF!)</f>
        <v>#REF!</v>
      </c>
      <c r="D424" s="92" t="e">
        <f>IF(Outline!$C$14&gt;0,Gradesheet!#REF!,Gradesheet!#REF!)</f>
        <v>#REF!</v>
      </c>
      <c r="E424" s="138" t="e">
        <f>IF(Outline!$C$14&gt;0,Gradesheet!#REF!,Gradesheet!#REF!)</f>
        <v>#REF!</v>
      </c>
      <c r="F424" s="138" t="e">
        <f>IF(Outline!$C$14&gt;0,Gradesheet!#REF!,"NA")</f>
        <v>#REF!</v>
      </c>
      <c r="G424" s="138" t="e">
        <f>IF(Outline!$C$14&gt;0,Gradesheet!#REF!,Gradesheet!#REF!)</f>
        <v>#REF!</v>
      </c>
      <c r="H424" s="139" t="e">
        <f t="shared" si="7"/>
        <v>#REF!</v>
      </c>
    </row>
    <row r="425" spans="2:8" hidden="1" x14ac:dyDescent="0.25">
      <c r="B425" s="90" t="e">
        <f>Gradesheet!#REF!</f>
        <v>#REF!</v>
      </c>
      <c r="C425" s="91" t="e">
        <f>(Gradesheet!#REF!)</f>
        <v>#REF!</v>
      </c>
      <c r="D425" s="92" t="e">
        <f>IF(Outline!$C$14&gt;0,Gradesheet!#REF!,Gradesheet!#REF!)</f>
        <v>#REF!</v>
      </c>
      <c r="E425" s="138" t="e">
        <f>IF(Outline!$C$14&gt;0,Gradesheet!#REF!,Gradesheet!#REF!)</f>
        <v>#REF!</v>
      </c>
      <c r="F425" s="138" t="e">
        <f>IF(Outline!$C$14&gt;0,Gradesheet!#REF!,"NA")</f>
        <v>#REF!</v>
      </c>
      <c r="G425" s="138" t="e">
        <f>IF(Outline!$C$14&gt;0,Gradesheet!#REF!,Gradesheet!#REF!)</f>
        <v>#REF!</v>
      </c>
      <c r="H425" s="139" t="e">
        <f t="shared" si="7"/>
        <v>#REF!</v>
      </c>
    </row>
    <row r="426" spans="2:8" hidden="1" x14ac:dyDescent="0.25">
      <c r="B426" s="90" t="e">
        <f>Gradesheet!#REF!</f>
        <v>#REF!</v>
      </c>
      <c r="C426" s="91" t="e">
        <f>(Gradesheet!#REF!)</f>
        <v>#REF!</v>
      </c>
      <c r="D426" s="92" t="e">
        <f>IF(Outline!$C$14&gt;0,Gradesheet!#REF!,Gradesheet!#REF!)</f>
        <v>#REF!</v>
      </c>
      <c r="E426" s="138" t="e">
        <f>IF(Outline!$C$14&gt;0,Gradesheet!#REF!,Gradesheet!#REF!)</f>
        <v>#REF!</v>
      </c>
      <c r="F426" s="138" t="e">
        <f>IF(Outline!$C$14&gt;0,Gradesheet!#REF!,"NA")</f>
        <v>#REF!</v>
      </c>
      <c r="G426" s="138" t="e">
        <f>IF(Outline!$C$14&gt;0,Gradesheet!#REF!,Gradesheet!#REF!)</f>
        <v>#REF!</v>
      </c>
      <c r="H426" s="139" t="e">
        <f t="shared" si="7"/>
        <v>#REF!</v>
      </c>
    </row>
    <row r="427" spans="2:8" hidden="1" x14ac:dyDescent="0.25">
      <c r="B427" s="90" t="e">
        <f>Gradesheet!#REF!</f>
        <v>#REF!</v>
      </c>
      <c r="C427" s="91" t="e">
        <f>(Gradesheet!#REF!)</f>
        <v>#REF!</v>
      </c>
      <c r="D427" s="92" t="e">
        <f>IF(Outline!$C$14&gt;0,Gradesheet!#REF!,Gradesheet!#REF!)</f>
        <v>#REF!</v>
      </c>
      <c r="E427" s="138" t="e">
        <f>IF(Outline!$C$14&gt;0,Gradesheet!#REF!,Gradesheet!#REF!)</f>
        <v>#REF!</v>
      </c>
      <c r="F427" s="138" t="e">
        <f>IF(Outline!$C$14&gt;0,Gradesheet!#REF!,"NA")</f>
        <v>#REF!</v>
      </c>
      <c r="G427" s="138" t="e">
        <f>IF(Outline!$C$14&gt;0,Gradesheet!#REF!,Gradesheet!#REF!)</f>
        <v>#REF!</v>
      </c>
      <c r="H427" s="139" t="e">
        <f t="shared" si="7"/>
        <v>#REF!</v>
      </c>
    </row>
    <row r="428" spans="2:8" hidden="1" x14ac:dyDescent="0.25">
      <c r="B428" s="90" t="e">
        <f>Gradesheet!#REF!</f>
        <v>#REF!</v>
      </c>
      <c r="C428" s="91" t="e">
        <f>(Gradesheet!#REF!)</f>
        <v>#REF!</v>
      </c>
      <c r="D428" s="92" t="e">
        <f>IF(Outline!$C$14&gt;0,Gradesheet!#REF!,Gradesheet!#REF!)</f>
        <v>#REF!</v>
      </c>
      <c r="E428" s="138" t="e">
        <f>IF(Outline!$C$14&gt;0,Gradesheet!#REF!,Gradesheet!#REF!)</f>
        <v>#REF!</v>
      </c>
      <c r="F428" s="138" t="e">
        <f>IF(Outline!$C$14&gt;0,Gradesheet!#REF!,"NA")</f>
        <v>#REF!</v>
      </c>
      <c r="G428" s="138" t="e">
        <f>IF(Outline!$C$14&gt;0,Gradesheet!#REF!,Gradesheet!#REF!)</f>
        <v>#REF!</v>
      </c>
      <c r="H428" s="139" t="e">
        <f t="shared" si="7"/>
        <v>#REF!</v>
      </c>
    </row>
    <row r="429" spans="2:8" hidden="1" x14ac:dyDescent="0.25">
      <c r="B429" s="90" t="e">
        <f>Gradesheet!#REF!</f>
        <v>#REF!</v>
      </c>
      <c r="C429" s="91" t="e">
        <f>(Gradesheet!#REF!)</f>
        <v>#REF!</v>
      </c>
      <c r="D429" s="92" t="e">
        <f>IF(Outline!$C$14&gt;0,Gradesheet!#REF!,Gradesheet!#REF!)</f>
        <v>#REF!</v>
      </c>
      <c r="E429" s="138" t="e">
        <f>IF(Outline!$C$14&gt;0,Gradesheet!#REF!,Gradesheet!#REF!)</f>
        <v>#REF!</v>
      </c>
      <c r="F429" s="138" t="e">
        <f>IF(Outline!$C$14&gt;0,Gradesheet!#REF!,"NA")</f>
        <v>#REF!</v>
      </c>
      <c r="G429" s="138" t="e">
        <f>IF(Outline!$C$14&gt;0,Gradesheet!#REF!,Gradesheet!#REF!)</f>
        <v>#REF!</v>
      </c>
      <c r="H429" s="139" t="e">
        <f t="shared" si="7"/>
        <v>#REF!</v>
      </c>
    </row>
    <row r="430" spans="2:8" hidden="1" x14ac:dyDescent="0.25">
      <c r="B430" s="90" t="e">
        <f>Gradesheet!#REF!</f>
        <v>#REF!</v>
      </c>
      <c r="C430" s="91" t="e">
        <f>(Gradesheet!#REF!)</f>
        <v>#REF!</v>
      </c>
      <c r="D430" s="92" t="e">
        <f>IF(Outline!$C$14&gt;0,Gradesheet!#REF!,Gradesheet!#REF!)</f>
        <v>#REF!</v>
      </c>
      <c r="E430" s="138" t="e">
        <f>IF(Outline!$C$14&gt;0,Gradesheet!#REF!,Gradesheet!#REF!)</f>
        <v>#REF!</v>
      </c>
      <c r="F430" s="138" t="e">
        <f>IF(Outline!$C$14&gt;0,Gradesheet!#REF!,"NA")</f>
        <v>#REF!</v>
      </c>
      <c r="G430" s="138" t="e">
        <f>IF(Outline!$C$14&gt;0,Gradesheet!#REF!,Gradesheet!#REF!)</f>
        <v>#REF!</v>
      </c>
      <c r="H430" s="139" t="e">
        <f t="shared" si="7"/>
        <v>#REF!</v>
      </c>
    </row>
    <row r="431" spans="2:8" hidden="1" x14ac:dyDescent="0.25">
      <c r="B431" s="90" t="e">
        <f>Gradesheet!#REF!</f>
        <v>#REF!</v>
      </c>
      <c r="C431" s="91" t="e">
        <f>(Gradesheet!#REF!)</f>
        <v>#REF!</v>
      </c>
      <c r="D431" s="92" t="e">
        <f>IF(Outline!$C$14&gt;0,Gradesheet!#REF!,Gradesheet!#REF!)</f>
        <v>#REF!</v>
      </c>
      <c r="E431" s="138" t="e">
        <f>IF(Outline!$C$14&gt;0,Gradesheet!#REF!,Gradesheet!#REF!)</f>
        <v>#REF!</v>
      </c>
      <c r="F431" s="138" t="e">
        <f>IF(Outline!$C$14&gt;0,Gradesheet!#REF!,"NA")</f>
        <v>#REF!</v>
      </c>
      <c r="G431" s="138" t="e">
        <f>IF(Outline!$C$14&gt;0,Gradesheet!#REF!,Gradesheet!#REF!)</f>
        <v>#REF!</v>
      </c>
      <c r="H431" s="139" t="e">
        <f t="shared" si="7"/>
        <v>#REF!</v>
      </c>
    </row>
    <row r="432" spans="2:8" hidden="1" x14ac:dyDescent="0.25">
      <c r="B432" s="90" t="e">
        <f>Gradesheet!#REF!</f>
        <v>#REF!</v>
      </c>
      <c r="C432" s="91" t="e">
        <f>(Gradesheet!#REF!)</f>
        <v>#REF!</v>
      </c>
      <c r="D432" s="92" t="e">
        <f>IF(Outline!$C$14&gt;0,Gradesheet!#REF!,Gradesheet!#REF!)</f>
        <v>#REF!</v>
      </c>
      <c r="E432" s="138" t="e">
        <f>IF(Outline!$C$14&gt;0,Gradesheet!#REF!,Gradesheet!#REF!)</f>
        <v>#REF!</v>
      </c>
      <c r="F432" s="138" t="e">
        <f>IF(Outline!$C$14&gt;0,Gradesheet!#REF!,"NA")</f>
        <v>#REF!</v>
      </c>
      <c r="G432" s="138" t="e">
        <f>IF(Outline!$C$14&gt;0,Gradesheet!#REF!,Gradesheet!#REF!)</f>
        <v>#REF!</v>
      </c>
      <c r="H432" s="139" t="e">
        <f t="shared" si="7"/>
        <v>#REF!</v>
      </c>
    </row>
    <row r="433" spans="2:8" hidden="1" x14ac:dyDescent="0.25">
      <c r="B433" s="90" t="e">
        <f>Gradesheet!#REF!</f>
        <v>#REF!</v>
      </c>
      <c r="C433" s="91" t="e">
        <f>(Gradesheet!#REF!)</f>
        <v>#REF!</v>
      </c>
      <c r="D433" s="92" t="e">
        <f>IF(Outline!$C$14&gt;0,Gradesheet!#REF!,Gradesheet!#REF!)</f>
        <v>#REF!</v>
      </c>
      <c r="E433" s="138" t="e">
        <f>IF(Outline!$C$14&gt;0,Gradesheet!#REF!,Gradesheet!#REF!)</f>
        <v>#REF!</v>
      </c>
      <c r="F433" s="138" t="e">
        <f>IF(Outline!$C$14&gt;0,Gradesheet!#REF!,"NA")</f>
        <v>#REF!</v>
      </c>
      <c r="G433" s="138" t="e">
        <f>IF(Outline!$C$14&gt;0,Gradesheet!#REF!,Gradesheet!#REF!)</f>
        <v>#REF!</v>
      </c>
      <c r="H433" s="139" t="e">
        <f t="shared" si="7"/>
        <v>#REF!</v>
      </c>
    </row>
    <row r="434" spans="2:8" hidden="1" x14ac:dyDescent="0.25">
      <c r="B434" s="90" t="e">
        <f>Gradesheet!#REF!</f>
        <v>#REF!</v>
      </c>
      <c r="C434" s="91" t="e">
        <f>(Gradesheet!#REF!)</f>
        <v>#REF!</v>
      </c>
      <c r="D434" s="92" t="e">
        <f>IF(Outline!$C$14&gt;0,Gradesheet!#REF!,Gradesheet!#REF!)</f>
        <v>#REF!</v>
      </c>
      <c r="E434" s="138" t="e">
        <f>IF(Outline!$C$14&gt;0,Gradesheet!#REF!,Gradesheet!#REF!)</f>
        <v>#REF!</v>
      </c>
      <c r="F434" s="138" t="e">
        <f>IF(Outline!$C$14&gt;0,Gradesheet!#REF!,"NA")</f>
        <v>#REF!</v>
      </c>
      <c r="G434" s="138" t="e">
        <f>IF(Outline!$C$14&gt;0,Gradesheet!#REF!,Gradesheet!#REF!)</f>
        <v>#REF!</v>
      </c>
      <c r="H434" s="139" t="e">
        <f t="shared" si="7"/>
        <v>#REF!</v>
      </c>
    </row>
    <row r="435" spans="2:8" hidden="1" x14ac:dyDescent="0.25">
      <c r="B435" s="90" t="e">
        <f>Gradesheet!#REF!</f>
        <v>#REF!</v>
      </c>
      <c r="C435" s="91" t="e">
        <f>(Gradesheet!#REF!)</f>
        <v>#REF!</v>
      </c>
      <c r="D435" s="92" t="e">
        <f>IF(Outline!$C$14&gt;0,Gradesheet!#REF!,Gradesheet!#REF!)</f>
        <v>#REF!</v>
      </c>
      <c r="E435" s="138" t="e">
        <f>IF(Outline!$C$14&gt;0,Gradesheet!#REF!,Gradesheet!#REF!)</f>
        <v>#REF!</v>
      </c>
      <c r="F435" s="138" t="e">
        <f>IF(Outline!$C$14&gt;0,Gradesheet!#REF!,"NA")</f>
        <v>#REF!</v>
      </c>
      <c r="G435" s="138" t="e">
        <f>IF(Outline!$C$14&gt;0,Gradesheet!#REF!,Gradesheet!#REF!)</f>
        <v>#REF!</v>
      </c>
      <c r="H435" s="139" t="e">
        <f t="shared" si="7"/>
        <v>#REF!</v>
      </c>
    </row>
    <row r="436" spans="2:8" hidden="1" x14ac:dyDescent="0.25">
      <c r="B436" s="90" t="e">
        <f>Gradesheet!#REF!</f>
        <v>#REF!</v>
      </c>
      <c r="C436" s="91" t="e">
        <f>(Gradesheet!#REF!)</f>
        <v>#REF!</v>
      </c>
      <c r="D436" s="92" t="e">
        <f>IF(Outline!$C$14&gt;0,Gradesheet!#REF!,Gradesheet!#REF!)</f>
        <v>#REF!</v>
      </c>
      <c r="E436" s="138" t="e">
        <f>IF(Outline!$C$14&gt;0,Gradesheet!#REF!,Gradesheet!#REF!)</f>
        <v>#REF!</v>
      </c>
      <c r="F436" s="138" t="e">
        <f>IF(Outline!$C$14&gt;0,Gradesheet!#REF!,"NA")</f>
        <v>#REF!</v>
      </c>
      <c r="G436" s="138" t="e">
        <f>IF(Outline!$C$14&gt;0,Gradesheet!#REF!,Gradesheet!#REF!)</f>
        <v>#REF!</v>
      </c>
      <c r="H436" s="139" t="e">
        <f t="shared" si="7"/>
        <v>#REF!</v>
      </c>
    </row>
    <row r="437" spans="2:8" hidden="1" x14ac:dyDescent="0.25">
      <c r="B437" s="90" t="e">
        <f>Gradesheet!#REF!</f>
        <v>#REF!</v>
      </c>
      <c r="C437" s="91" t="e">
        <f>(Gradesheet!#REF!)</f>
        <v>#REF!</v>
      </c>
      <c r="D437" s="92" t="e">
        <f>IF(Outline!$C$14&gt;0,Gradesheet!#REF!,Gradesheet!#REF!)</f>
        <v>#REF!</v>
      </c>
      <c r="E437" s="138" t="e">
        <f>IF(Outline!$C$14&gt;0,Gradesheet!#REF!,Gradesheet!#REF!)</f>
        <v>#REF!</v>
      </c>
      <c r="F437" s="138" t="e">
        <f>IF(Outline!$C$14&gt;0,Gradesheet!#REF!,"NA")</f>
        <v>#REF!</v>
      </c>
      <c r="G437" s="138" t="e">
        <f>IF(Outline!$C$14&gt;0,Gradesheet!#REF!,Gradesheet!#REF!)</f>
        <v>#REF!</v>
      </c>
      <c r="H437" s="139" t="e">
        <f t="shared" si="7"/>
        <v>#REF!</v>
      </c>
    </row>
    <row r="438" spans="2:8" hidden="1" x14ac:dyDescent="0.25">
      <c r="B438" s="90" t="e">
        <f>Gradesheet!#REF!</f>
        <v>#REF!</v>
      </c>
      <c r="C438" s="91" t="e">
        <f>(Gradesheet!#REF!)</f>
        <v>#REF!</v>
      </c>
      <c r="D438" s="92" t="e">
        <f>IF(Outline!$C$14&gt;0,Gradesheet!#REF!,Gradesheet!#REF!)</f>
        <v>#REF!</v>
      </c>
      <c r="E438" s="138" t="e">
        <f>IF(Outline!$C$14&gt;0,Gradesheet!#REF!,Gradesheet!#REF!)</f>
        <v>#REF!</v>
      </c>
      <c r="F438" s="138" t="e">
        <f>IF(Outline!$C$14&gt;0,Gradesheet!#REF!,"NA")</f>
        <v>#REF!</v>
      </c>
      <c r="G438" s="138" t="e">
        <f>IF(Outline!$C$14&gt;0,Gradesheet!#REF!,Gradesheet!#REF!)</f>
        <v>#REF!</v>
      </c>
      <c r="H438" s="139" t="e">
        <f t="shared" si="7"/>
        <v>#REF!</v>
      </c>
    </row>
    <row r="439" spans="2:8" hidden="1" x14ac:dyDescent="0.25">
      <c r="B439" s="90" t="e">
        <f>Gradesheet!#REF!</f>
        <v>#REF!</v>
      </c>
      <c r="C439" s="91" t="e">
        <f>(Gradesheet!#REF!)</f>
        <v>#REF!</v>
      </c>
      <c r="D439" s="92" t="e">
        <f>IF(Outline!$C$14&gt;0,Gradesheet!#REF!,Gradesheet!#REF!)</f>
        <v>#REF!</v>
      </c>
      <c r="E439" s="138" t="e">
        <f>IF(Outline!$C$14&gt;0,Gradesheet!#REF!,Gradesheet!#REF!)</f>
        <v>#REF!</v>
      </c>
      <c r="F439" s="138" t="e">
        <f>IF(Outline!$C$14&gt;0,Gradesheet!#REF!,"NA")</f>
        <v>#REF!</v>
      </c>
      <c r="G439" s="138" t="e">
        <f>IF(Outline!$C$14&gt;0,Gradesheet!#REF!,Gradesheet!#REF!)</f>
        <v>#REF!</v>
      </c>
      <c r="H439" s="139" t="e">
        <f t="shared" si="7"/>
        <v>#REF!</v>
      </c>
    </row>
    <row r="440" spans="2:8" hidden="1" x14ac:dyDescent="0.25">
      <c r="B440" s="90" t="e">
        <f>Gradesheet!#REF!</f>
        <v>#REF!</v>
      </c>
      <c r="C440" s="91" t="e">
        <f>(Gradesheet!#REF!)</f>
        <v>#REF!</v>
      </c>
      <c r="D440" s="92" t="e">
        <f>IF(Outline!$C$14&gt;0,Gradesheet!#REF!,Gradesheet!#REF!)</f>
        <v>#REF!</v>
      </c>
      <c r="E440" s="138" t="e">
        <f>IF(Outline!$C$14&gt;0,Gradesheet!#REF!,Gradesheet!#REF!)</f>
        <v>#REF!</v>
      </c>
      <c r="F440" s="138" t="e">
        <f>IF(Outline!$C$14&gt;0,Gradesheet!#REF!,"NA")</f>
        <v>#REF!</v>
      </c>
      <c r="G440" s="138" t="e">
        <f>IF(Outline!$C$14&gt;0,Gradesheet!#REF!,Gradesheet!#REF!)</f>
        <v>#REF!</v>
      </c>
      <c r="H440" s="139" t="e">
        <f t="shared" si="7"/>
        <v>#REF!</v>
      </c>
    </row>
    <row r="441" spans="2:8" hidden="1" x14ac:dyDescent="0.25">
      <c r="B441" s="90" t="e">
        <f>Gradesheet!#REF!</f>
        <v>#REF!</v>
      </c>
      <c r="C441" s="91" t="e">
        <f>(Gradesheet!#REF!)</f>
        <v>#REF!</v>
      </c>
      <c r="D441" s="92" t="e">
        <f>IF(Outline!$C$14&gt;0,Gradesheet!#REF!,Gradesheet!#REF!)</f>
        <v>#REF!</v>
      </c>
      <c r="E441" s="138" t="e">
        <f>IF(Outline!$C$14&gt;0,Gradesheet!#REF!,Gradesheet!#REF!)</f>
        <v>#REF!</v>
      </c>
      <c r="F441" s="138" t="e">
        <f>IF(Outline!$C$14&gt;0,Gradesheet!#REF!,"NA")</f>
        <v>#REF!</v>
      </c>
      <c r="G441" s="138" t="e">
        <f>IF(Outline!$C$14&gt;0,Gradesheet!#REF!,Gradesheet!#REF!)</f>
        <v>#REF!</v>
      </c>
      <c r="H441" s="139" t="e">
        <f t="shared" si="7"/>
        <v>#REF!</v>
      </c>
    </row>
    <row r="442" spans="2:8" hidden="1" x14ac:dyDescent="0.25">
      <c r="B442" s="90" t="e">
        <f>Gradesheet!#REF!</f>
        <v>#REF!</v>
      </c>
      <c r="C442" s="91" t="e">
        <f>(Gradesheet!#REF!)</f>
        <v>#REF!</v>
      </c>
      <c r="D442" s="92" t="e">
        <f>IF(Outline!$C$14&gt;0,Gradesheet!#REF!,Gradesheet!#REF!)</f>
        <v>#REF!</v>
      </c>
      <c r="E442" s="138" t="e">
        <f>IF(Outline!$C$14&gt;0,Gradesheet!#REF!,Gradesheet!#REF!)</f>
        <v>#REF!</v>
      </c>
      <c r="F442" s="138" t="e">
        <f>IF(Outline!$C$14&gt;0,Gradesheet!#REF!,"NA")</f>
        <v>#REF!</v>
      </c>
      <c r="G442" s="138" t="e">
        <f>IF(Outline!$C$14&gt;0,Gradesheet!#REF!,Gradesheet!#REF!)</f>
        <v>#REF!</v>
      </c>
      <c r="H442" s="139" t="e">
        <f t="shared" si="7"/>
        <v>#REF!</v>
      </c>
    </row>
    <row r="443" spans="2:8" hidden="1" x14ac:dyDescent="0.25">
      <c r="B443" s="90" t="e">
        <f>Gradesheet!#REF!</f>
        <v>#REF!</v>
      </c>
      <c r="C443" s="91" t="e">
        <f>(Gradesheet!#REF!)</f>
        <v>#REF!</v>
      </c>
      <c r="D443" s="92" t="e">
        <f>IF(Outline!$C$14&gt;0,Gradesheet!#REF!,Gradesheet!#REF!)</f>
        <v>#REF!</v>
      </c>
      <c r="E443" s="138" t="e">
        <f>IF(Outline!$C$14&gt;0,Gradesheet!#REF!,Gradesheet!#REF!)</f>
        <v>#REF!</v>
      </c>
      <c r="F443" s="138" t="e">
        <f>IF(Outline!$C$14&gt;0,Gradesheet!#REF!,"NA")</f>
        <v>#REF!</v>
      </c>
      <c r="G443" s="138" t="e">
        <f>IF(Outline!$C$14&gt;0,Gradesheet!#REF!,Gradesheet!#REF!)</f>
        <v>#REF!</v>
      </c>
      <c r="H443" s="139" t="e">
        <f t="shared" si="7"/>
        <v>#REF!</v>
      </c>
    </row>
    <row r="444" spans="2:8" hidden="1" x14ac:dyDescent="0.25">
      <c r="B444" s="90" t="e">
        <f>Gradesheet!#REF!</f>
        <v>#REF!</v>
      </c>
      <c r="C444" s="91" t="e">
        <f>(Gradesheet!#REF!)</f>
        <v>#REF!</v>
      </c>
      <c r="D444" s="92" t="e">
        <f>IF(Outline!$C$14&gt;0,Gradesheet!#REF!,Gradesheet!#REF!)</f>
        <v>#REF!</v>
      </c>
      <c r="E444" s="138" t="e">
        <f>IF(Outline!$C$14&gt;0,Gradesheet!#REF!,Gradesheet!#REF!)</f>
        <v>#REF!</v>
      </c>
      <c r="F444" s="138" t="e">
        <f>IF(Outline!$C$14&gt;0,Gradesheet!#REF!,"NA")</f>
        <v>#REF!</v>
      </c>
      <c r="G444" s="138" t="e">
        <f>IF(Outline!$C$14&gt;0,Gradesheet!#REF!,Gradesheet!#REF!)</f>
        <v>#REF!</v>
      </c>
      <c r="H444" s="139" t="e">
        <f t="shared" si="7"/>
        <v>#REF!</v>
      </c>
    </row>
    <row r="445" spans="2:8" hidden="1" x14ac:dyDescent="0.25">
      <c r="B445" s="90" t="e">
        <f>Gradesheet!#REF!</f>
        <v>#REF!</v>
      </c>
      <c r="C445" s="91" t="e">
        <f>(Gradesheet!#REF!)</f>
        <v>#REF!</v>
      </c>
      <c r="D445" s="92" t="e">
        <f>IF(Outline!$C$14&gt;0,Gradesheet!#REF!,Gradesheet!#REF!)</f>
        <v>#REF!</v>
      </c>
      <c r="E445" s="138" t="e">
        <f>IF(Outline!$C$14&gt;0,Gradesheet!#REF!,Gradesheet!#REF!)</f>
        <v>#REF!</v>
      </c>
      <c r="F445" s="138" t="e">
        <f>IF(Outline!$C$14&gt;0,Gradesheet!#REF!,"NA")</f>
        <v>#REF!</v>
      </c>
      <c r="G445" s="138" t="e">
        <f>IF(Outline!$C$14&gt;0,Gradesheet!#REF!,Gradesheet!#REF!)</f>
        <v>#REF!</v>
      </c>
      <c r="H445" s="139" t="e">
        <f t="shared" si="7"/>
        <v>#REF!</v>
      </c>
    </row>
    <row r="446" spans="2:8" hidden="1" x14ac:dyDescent="0.25">
      <c r="B446" s="90" t="e">
        <f>Gradesheet!#REF!</f>
        <v>#REF!</v>
      </c>
      <c r="C446" s="91" t="e">
        <f>(Gradesheet!#REF!)</f>
        <v>#REF!</v>
      </c>
      <c r="D446" s="92" t="e">
        <f>IF(Outline!$C$14&gt;0,Gradesheet!#REF!,Gradesheet!#REF!)</f>
        <v>#REF!</v>
      </c>
      <c r="E446" s="138" t="e">
        <f>IF(Outline!$C$14&gt;0,Gradesheet!#REF!,Gradesheet!#REF!)</f>
        <v>#REF!</v>
      </c>
      <c r="F446" s="138" t="e">
        <f>IF(Outline!$C$14&gt;0,Gradesheet!#REF!,"NA")</f>
        <v>#REF!</v>
      </c>
      <c r="G446" s="138" t="e">
        <f>IF(Outline!$C$14&gt;0,Gradesheet!#REF!,Gradesheet!#REF!)</f>
        <v>#REF!</v>
      </c>
      <c r="H446" s="139" t="e">
        <f t="shared" si="7"/>
        <v>#REF!</v>
      </c>
    </row>
    <row r="447" spans="2:8" hidden="1" x14ac:dyDescent="0.25">
      <c r="B447" s="90" t="e">
        <f>Gradesheet!#REF!</f>
        <v>#REF!</v>
      </c>
      <c r="C447" s="91" t="e">
        <f>(Gradesheet!#REF!)</f>
        <v>#REF!</v>
      </c>
      <c r="D447" s="92" t="e">
        <f>IF(Outline!$C$14&gt;0,Gradesheet!#REF!,Gradesheet!#REF!)</f>
        <v>#REF!</v>
      </c>
      <c r="E447" s="138" t="e">
        <f>IF(Outline!$C$14&gt;0,Gradesheet!#REF!,Gradesheet!#REF!)</f>
        <v>#REF!</v>
      </c>
      <c r="F447" s="138" t="e">
        <f>IF(Outline!$C$14&gt;0,Gradesheet!#REF!,"NA")</f>
        <v>#REF!</v>
      </c>
      <c r="G447" s="138" t="e">
        <f>IF(Outline!$C$14&gt;0,Gradesheet!#REF!,Gradesheet!#REF!)</f>
        <v>#REF!</v>
      </c>
      <c r="H447" s="139" t="e">
        <f t="shared" si="7"/>
        <v>#REF!</v>
      </c>
    </row>
    <row r="448" spans="2:8" hidden="1" x14ac:dyDescent="0.25">
      <c r="B448" s="90" t="e">
        <f>Gradesheet!#REF!</f>
        <v>#REF!</v>
      </c>
      <c r="C448" s="91" t="e">
        <f>(Gradesheet!#REF!)</f>
        <v>#REF!</v>
      </c>
      <c r="D448" s="92" t="e">
        <f>IF(Outline!$C$14&gt;0,Gradesheet!#REF!,Gradesheet!#REF!)</f>
        <v>#REF!</v>
      </c>
      <c r="E448" s="138" t="e">
        <f>IF(Outline!$C$14&gt;0,Gradesheet!#REF!,Gradesheet!#REF!)</f>
        <v>#REF!</v>
      </c>
      <c r="F448" s="138" t="e">
        <f>IF(Outline!$C$14&gt;0,Gradesheet!#REF!,"NA")</f>
        <v>#REF!</v>
      </c>
      <c r="G448" s="138" t="e">
        <f>IF(Outline!$C$14&gt;0,Gradesheet!#REF!,Gradesheet!#REF!)</f>
        <v>#REF!</v>
      </c>
      <c r="H448" s="139" t="e">
        <f t="shared" si="7"/>
        <v>#REF!</v>
      </c>
    </row>
    <row r="449" spans="2:8" hidden="1" x14ac:dyDescent="0.25">
      <c r="B449" s="90" t="e">
        <f>Gradesheet!#REF!</f>
        <v>#REF!</v>
      </c>
      <c r="C449" s="91" t="e">
        <f>(Gradesheet!#REF!)</f>
        <v>#REF!</v>
      </c>
      <c r="D449" s="92" t="e">
        <f>IF(Outline!$C$14&gt;0,Gradesheet!#REF!,Gradesheet!#REF!)</f>
        <v>#REF!</v>
      </c>
      <c r="E449" s="138" t="e">
        <f>IF(Outline!$C$14&gt;0,Gradesheet!#REF!,Gradesheet!#REF!)</f>
        <v>#REF!</v>
      </c>
      <c r="F449" s="138" t="e">
        <f>IF(Outline!$C$14&gt;0,Gradesheet!#REF!,"NA")</f>
        <v>#REF!</v>
      </c>
      <c r="G449" s="138" t="e">
        <f>IF(Outline!$C$14&gt;0,Gradesheet!#REF!,Gradesheet!#REF!)</f>
        <v>#REF!</v>
      </c>
      <c r="H449" s="139" t="e">
        <f t="shared" si="7"/>
        <v>#REF!</v>
      </c>
    </row>
    <row r="450" spans="2:8" hidden="1" x14ac:dyDescent="0.25">
      <c r="B450" s="90" t="e">
        <f>Gradesheet!#REF!</f>
        <v>#REF!</v>
      </c>
      <c r="C450" s="91" t="e">
        <f>(Gradesheet!#REF!)</f>
        <v>#REF!</v>
      </c>
      <c r="D450" s="92" t="e">
        <f>IF(Outline!$C$14&gt;0,Gradesheet!#REF!,Gradesheet!#REF!)</f>
        <v>#REF!</v>
      </c>
      <c r="E450" s="138" t="e">
        <f>IF(Outline!$C$14&gt;0,Gradesheet!#REF!,Gradesheet!#REF!)</f>
        <v>#REF!</v>
      </c>
      <c r="F450" s="138" t="e">
        <f>IF(Outline!$C$14&gt;0,Gradesheet!#REF!,"NA")</f>
        <v>#REF!</v>
      </c>
      <c r="G450" s="138" t="e">
        <f>IF(Outline!$C$14&gt;0,Gradesheet!#REF!,Gradesheet!#REF!)</f>
        <v>#REF!</v>
      </c>
      <c r="H450" s="139" t="e">
        <f t="shared" si="7"/>
        <v>#REF!</v>
      </c>
    </row>
    <row r="451" spans="2:8" hidden="1" x14ac:dyDescent="0.25">
      <c r="B451" s="90" t="e">
        <f>Gradesheet!#REF!</f>
        <v>#REF!</v>
      </c>
      <c r="C451" s="91" t="e">
        <f>(Gradesheet!#REF!)</f>
        <v>#REF!</v>
      </c>
      <c r="D451" s="92" t="e">
        <f>IF(Outline!$C$14&gt;0,Gradesheet!#REF!,Gradesheet!#REF!)</f>
        <v>#REF!</v>
      </c>
      <c r="E451" s="138" t="e">
        <f>IF(Outline!$C$14&gt;0,Gradesheet!#REF!,Gradesheet!#REF!)</f>
        <v>#REF!</v>
      </c>
      <c r="F451" s="138" t="e">
        <f>IF(Outline!$C$14&gt;0,Gradesheet!#REF!,"NA")</f>
        <v>#REF!</v>
      </c>
      <c r="G451" s="138" t="e">
        <f>IF(Outline!$C$14&gt;0,Gradesheet!#REF!,Gradesheet!#REF!)</f>
        <v>#REF!</v>
      </c>
      <c r="H451" s="139" t="e">
        <f t="shared" si="7"/>
        <v>#REF!</v>
      </c>
    </row>
    <row r="452" spans="2:8" hidden="1" x14ac:dyDescent="0.25">
      <c r="B452" s="90" t="e">
        <f>Gradesheet!#REF!</f>
        <v>#REF!</v>
      </c>
      <c r="C452" s="91" t="e">
        <f>(Gradesheet!#REF!)</f>
        <v>#REF!</v>
      </c>
      <c r="D452" s="92" t="e">
        <f>IF(Outline!$C$14&gt;0,Gradesheet!#REF!,Gradesheet!#REF!)</f>
        <v>#REF!</v>
      </c>
      <c r="E452" s="138" t="e">
        <f>IF(Outline!$C$14&gt;0,Gradesheet!#REF!,Gradesheet!#REF!)</f>
        <v>#REF!</v>
      </c>
      <c r="F452" s="138" t="e">
        <f>IF(Outline!$C$14&gt;0,Gradesheet!#REF!,"NA")</f>
        <v>#REF!</v>
      </c>
      <c r="G452" s="138" t="e">
        <f>IF(Outline!$C$14&gt;0,Gradesheet!#REF!,Gradesheet!#REF!)</f>
        <v>#REF!</v>
      </c>
      <c r="H452" s="139" t="e">
        <f t="shared" si="7"/>
        <v>#REF!</v>
      </c>
    </row>
    <row r="453" spans="2:8" hidden="1" x14ac:dyDescent="0.25">
      <c r="B453" s="90" t="e">
        <f>Gradesheet!#REF!</f>
        <v>#REF!</v>
      </c>
      <c r="C453" s="91" t="e">
        <f>(Gradesheet!#REF!)</f>
        <v>#REF!</v>
      </c>
      <c r="D453" s="92" t="e">
        <f>IF(Outline!$C$14&gt;0,Gradesheet!#REF!,Gradesheet!#REF!)</f>
        <v>#REF!</v>
      </c>
      <c r="E453" s="138" t="e">
        <f>IF(Outline!$C$14&gt;0,Gradesheet!#REF!,Gradesheet!#REF!)</f>
        <v>#REF!</v>
      </c>
      <c r="F453" s="138" t="e">
        <f>IF(Outline!$C$14&gt;0,Gradesheet!#REF!,"NA")</f>
        <v>#REF!</v>
      </c>
      <c r="G453" s="138" t="e">
        <f>IF(Outline!$C$14&gt;0,Gradesheet!#REF!,Gradesheet!#REF!)</f>
        <v>#REF!</v>
      </c>
      <c r="H453" s="139" t="e">
        <f t="shared" si="7"/>
        <v>#REF!</v>
      </c>
    </row>
    <row r="454" spans="2:8" hidden="1" x14ac:dyDescent="0.25">
      <c r="B454" s="90" t="e">
        <f>Gradesheet!#REF!</f>
        <v>#REF!</v>
      </c>
      <c r="C454" s="91" t="e">
        <f>(Gradesheet!#REF!)</f>
        <v>#REF!</v>
      </c>
      <c r="D454" s="92" t="e">
        <f>IF(Outline!$C$14&gt;0,Gradesheet!#REF!,Gradesheet!#REF!)</f>
        <v>#REF!</v>
      </c>
      <c r="E454" s="138" t="e">
        <f>IF(Outline!$C$14&gt;0,Gradesheet!#REF!,Gradesheet!#REF!)</f>
        <v>#REF!</v>
      </c>
      <c r="F454" s="138" t="e">
        <f>IF(Outline!$C$14&gt;0,Gradesheet!#REF!,"NA")</f>
        <v>#REF!</v>
      </c>
      <c r="G454" s="138" t="e">
        <f>IF(Outline!$C$14&gt;0,Gradesheet!#REF!,Gradesheet!#REF!)</f>
        <v>#REF!</v>
      </c>
      <c r="H454" s="139" t="e">
        <f t="shared" si="7"/>
        <v>#REF!</v>
      </c>
    </row>
    <row r="455" spans="2:8" hidden="1" x14ac:dyDescent="0.25">
      <c r="B455" s="90" t="e">
        <f>Gradesheet!#REF!</f>
        <v>#REF!</v>
      </c>
      <c r="C455" s="91" t="e">
        <f>(Gradesheet!#REF!)</f>
        <v>#REF!</v>
      </c>
      <c r="D455" s="92" t="e">
        <f>IF(Outline!$C$14&gt;0,Gradesheet!#REF!,Gradesheet!#REF!)</f>
        <v>#REF!</v>
      </c>
      <c r="E455" s="138" t="e">
        <f>IF(Outline!$C$14&gt;0,Gradesheet!#REF!,Gradesheet!#REF!)</f>
        <v>#REF!</v>
      </c>
      <c r="F455" s="138" t="e">
        <f>IF(Outline!$C$14&gt;0,Gradesheet!#REF!,"NA")</f>
        <v>#REF!</v>
      </c>
      <c r="G455" s="138" t="e">
        <f>IF(Outline!$C$14&gt;0,Gradesheet!#REF!,Gradesheet!#REF!)</f>
        <v>#REF!</v>
      </c>
      <c r="H455" s="139" t="e">
        <f t="shared" ref="H455:H518" si="8">SUM(D455:G455)</f>
        <v>#REF!</v>
      </c>
    </row>
    <row r="456" spans="2:8" hidden="1" x14ac:dyDescent="0.25">
      <c r="B456" s="90" t="e">
        <f>Gradesheet!#REF!</f>
        <v>#REF!</v>
      </c>
      <c r="C456" s="91" t="e">
        <f>(Gradesheet!#REF!)</f>
        <v>#REF!</v>
      </c>
      <c r="D456" s="92" t="e">
        <f>IF(Outline!$C$14&gt;0,Gradesheet!#REF!,Gradesheet!#REF!)</f>
        <v>#REF!</v>
      </c>
      <c r="E456" s="138" t="e">
        <f>IF(Outline!$C$14&gt;0,Gradesheet!#REF!,Gradesheet!#REF!)</f>
        <v>#REF!</v>
      </c>
      <c r="F456" s="138" t="e">
        <f>IF(Outline!$C$14&gt;0,Gradesheet!#REF!,"NA")</f>
        <v>#REF!</v>
      </c>
      <c r="G456" s="138" t="e">
        <f>IF(Outline!$C$14&gt;0,Gradesheet!#REF!,Gradesheet!#REF!)</f>
        <v>#REF!</v>
      </c>
      <c r="H456" s="139" t="e">
        <f t="shared" si="8"/>
        <v>#REF!</v>
      </c>
    </row>
    <row r="457" spans="2:8" hidden="1" x14ac:dyDescent="0.25">
      <c r="B457" s="90" t="e">
        <f>Gradesheet!#REF!</f>
        <v>#REF!</v>
      </c>
      <c r="C457" s="91" t="e">
        <f>(Gradesheet!#REF!)</f>
        <v>#REF!</v>
      </c>
      <c r="D457" s="92" t="e">
        <f>IF(Outline!$C$14&gt;0,Gradesheet!#REF!,Gradesheet!#REF!)</f>
        <v>#REF!</v>
      </c>
      <c r="E457" s="138" t="e">
        <f>IF(Outline!$C$14&gt;0,Gradesheet!#REF!,Gradesheet!#REF!)</f>
        <v>#REF!</v>
      </c>
      <c r="F457" s="138" t="e">
        <f>IF(Outline!$C$14&gt;0,Gradesheet!#REF!,"NA")</f>
        <v>#REF!</v>
      </c>
      <c r="G457" s="138" t="e">
        <f>IF(Outline!$C$14&gt;0,Gradesheet!#REF!,Gradesheet!#REF!)</f>
        <v>#REF!</v>
      </c>
      <c r="H457" s="139" t="e">
        <f t="shared" si="8"/>
        <v>#REF!</v>
      </c>
    </row>
    <row r="458" spans="2:8" hidden="1" x14ac:dyDescent="0.25">
      <c r="B458" s="90" t="e">
        <f>Gradesheet!#REF!</f>
        <v>#REF!</v>
      </c>
      <c r="C458" s="91" t="e">
        <f>(Gradesheet!#REF!)</f>
        <v>#REF!</v>
      </c>
      <c r="D458" s="92" t="e">
        <f>IF(Outline!$C$14&gt;0,Gradesheet!#REF!,Gradesheet!#REF!)</f>
        <v>#REF!</v>
      </c>
      <c r="E458" s="138" t="e">
        <f>IF(Outline!$C$14&gt;0,Gradesheet!#REF!,Gradesheet!#REF!)</f>
        <v>#REF!</v>
      </c>
      <c r="F458" s="138" t="e">
        <f>IF(Outline!$C$14&gt;0,Gradesheet!#REF!,"NA")</f>
        <v>#REF!</v>
      </c>
      <c r="G458" s="138" t="e">
        <f>IF(Outline!$C$14&gt;0,Gradesheet!#REF!,Gradesheet!#REF!)</f>
        <v>#REF!</v>
      </c>
      <c r="H458" s="139" t="e">
        <f t="shared" si="8"/>
        <v>#REF!</v>
      </c>
    </row>
    <row r="459" spans="2:8" hidden="1" x14ac:dyDescent="0.25">
      <c r="B459" s="90" t="e">
        <f>Gradesheet!#REF!</f>
        <v>#REF!</v>
      </c>
      <c r="C459" s="91" t="e">
        <f>(Gradesheet!#REF!)</f>
        <v>#REF!</v>
      </c>
      <c r="D459" s="92" t="e">
        <f>IF(Outline!$C$14&gt;0,Gradesheet!#REF!,Gradesheet!#REF!)</f>
        <v>#REF!</v>
      </c>
      <c r="E459" s="138" t="e">
        <f>IF(Outline!$C$14&gt;0,Gradesheet!#REF!,Gradesheet!#REF!)</f>
        <v>#REF!</v>
      </c>
      <c r="F459" s="138" t="e">
        <f>IF(Outline!$C$14&gt;0,Gradesheet!#REF!,"NA")</f>
        <v>#REF!</v>
      </c>
      <c r="G459" s="138" t="e">
        <f>IF(Outline!$C$14&gt;0,Gradesheet!#REF!,Gradesheet!#REF!)</f>
        <v>#REF!</v>
      </c>
      <c r="H459" s="139" t="e">
        <f t="shared" si="8"/>
        <v>#REF!</v>
      </c>
    </row>
    <row r="460" spans="2:8" hidden="1" x14ac:dyDescent="0.25">
      <c r="B460" s="90" t="e">
        <f>Gradesheet!#REF!</f>
        <v>#REF!</v>
      </c>
      <c r="C460" s="91" t="e">
        <f>(Gradesheet!#REF!)</f>
        <v>#REF!</v>
      </c>
      <c r="D460" s="92" t="e">
        <f>IF(Outline!$C$14&gt;0,Gradesheet!#REF!,Gradesheet!#REF!)</f>
        <v>#REF!</v>
      </c>
      <c r="E460" s="138" t="e">
        <f>IF(Outline!$C$14&gt;0,Gradesheet!#REF!,Gradesheet!#REF!)</f>
        <v>#REF!</v>
      </c>
      <c r="F460" s="138" t="e">
        <f>IF(Outline!$C$14&gt;0,Gradesheet!#REF!,"NA")</f>
        <v>#REF!</v>
      </c>
      <c r="G460" s="138" t="e">
        <f>IF(Outline!$C$14&gt;0,Gradesheet!#REF!,Gradesheet!#REF!)</f>
        <v>#REF!</v>
      </c>
      <c r="H460" s="139" t="e">
        <f t="shared" si="8"/>
        <v>#REF!</v>
      </c>
    </row>
    <row r="461" spans="2:8" hidden="1" x14ac:dyDescent="0.25">
      <c r="B461" s="90" t="e">
        <f>Gradesheet!#REF!</f>
        <v>#REF!</v>
      </c>
      <c r="C461" s="91" t="e">
        <f>(Gradesheet!#REF!)</f>
        <v>#REF!</v>
      </c>
      <c r="D461" s="92" t="e">
        <f>IF(Outline!$C$14&gt;0,Gradesheet!#REF!,Gradesheet!#REF!)</f>
        <v>#REF!</v>
      </c>
      <c r="E461" s="138" t="e">
        <f>IF(Outline!$C$14&gt;0,Gradesheet!#REF!,Gradesheet!#REF!)</f>
        <v>#REF!</v>
      </c>
      <c r="F461" s="138" t="e">
        <f>IF(Outline!$C$14&gt;0,Gradesheet!#REF!,"NA")</f>
        <v>#REF!</v>
      </c>
      <c r="G461" s="138" t="e">
        <f>IF(Outline!$C$14&gt;0,Gradesheet!#REF!,Gradesheet!#REF!)</f>
        <v>#REF!</v>
      </c>
      <c r="H461" s="139" t="e">
        <f t="shared" si="8"/>
        <v>#REF!</v>
      </c>
    </row>
    <row r="462" spans="2:8" hidden="1" x14ac:dyDescent="0.25">
      <c r="B462" s="90" t="e">
        <f>Gradesheet!#REF!</f>
        <v>#REF!</v>
      </c>
      <c r="C462" s="91" t="e">
        <f>(Gradesheet!#REF!)</f>
        <v>#REF!</v>
      </c>
      <c r="D462" s="92" t="e">
        <f>IF(Outline!$C$14&gt;0,Gradesheet!#REF!,Gradesheet!#REF!)</f>
        <v>#REF!</v>
      </c>
      <c r="E462" s="138" t="e">
        <f>IF(Outline!$C$14&gt;0,Gradesheet!#REF!,Gradesheet!#REF!)</f>
        <v>#REF!</v>
      </c>
      <c r="F462" s="138" t="e">
        <f>IF(Outline!$C$14&gt;0,Gradesheet!#REF!,"NA")</f>
        <v>#REF!</v>
      </c>
      <c r="G462" s="138" t="e">
        <f>IF(Outline!$C$14&gt;0,Gradesheet!#REF!,Gradesheet!#REF!)</f>
        <v>#REF!</v>
      </c>
      <c r="H462" s="139" t="e">
        <f t="shared" si="8"/>
        <v>#REF!</v>
      </c>
    </row>
    <row r="463" spans="2:8" hidden="1" x14ac:dyDescent="0.25">
      <c r="B463" s="90" t="e">
        <f>Gradesheet!#REF!</f>
        <v>#REF!</v>
      </c>
      <c r="C463" s="91" t="e">
        <f>(Gradesheet!#REF!)</f>
        <v>#REF!</v>
      </c>
      <c r="D463" s="92" t="e">
        <f>IF(Outline!$C$14&gt;0,Gradesheet!#REF!,Gradesheet!#REF!)</f>
        <v>#REF!</v>
      </c>
      <c r="E463" s="138" t="e">
        <f>IF(Outline!$C$14&gt;0,Gradesheet!#REF!,Gradesheet!#REF!)</f>
        <v>#REF!</v>
      </c>
      <c r="F463" s="138" t="e">
        <f>IF(Outline!$C$14&gt;0,Gradesheet!#REF!,"NA")</f>
        <v>#REF!</v>
      </c>
      <c r="G463" s="138" t="e">
        <f>IF(Outline!$C$14&gt;0,Gradesheet!#REF!,Gradesheet!#REF!)</f>
        <v>#REF!</v>
      </c>
      <c r="H463" s="139" t="e">
        <f t="shared" si="8"/>
        <v>#REF!</v>
      </c>
    </row>
    <row r="464" spans="2:8" hidden="1" x14ac:dyDescent="0.25">
      <c r="B464" s="90" t="e">
        <f>Gradesheet!#REF!</f>
        <v>#REF!</v>
      </c>
      <c r="C464" s="91" t="e">
        <f>(Gradesheet!#REF!)</f>
        <v>#REF!</v>
      </c>
      <c r="D464" s="92" t="e">
        <f>IF(Outline!$C$14&gt;0,Gradesheet!#REF!,Gradesheet!#REF!)</f>
        <v>#REF!</v>
      </c>
      <c r="E464" s="138" t="e">
        <f>IF(Outline!$C$14&gt;0,Gradesheet!#REF!,Gradesheet!#REF!)</f>
        <v>#REF!</v>
      </c>
      <c r="F464" s="138" t="e">
        <f>IF(Outline!$C$14&gt;0,Gradesheet!#REF!,"NA")</f>
        <v>#REF!</v>
      </c>
      <c r="G464" s="138" t="e">
        <f>IF(Outline!$C$14&gt;0,Gradesheet!#REF!,Gradesheet!#REF!)</f>
        <v>#REF!</v>
      </c>
      <c r="H464" s="139" t="e">
        <f t="shared" si="8"/>
        <v>#REF!</v>
      </c>
    </row>
    <row r="465" spans="2:8" hidden="1" x14ac:dyDescent="0.25">
      <c r="B465" s="90" t="e">
        <f>Gradesheet!#REF!</f>
        <v>#REF!</v>
      </c>
      <c r="C465" s="91" t="e">
        <f>(Gradesheet!#REF!)</f>
        <v>#REF!</v>
      </c>
      <c r="D465" s="92" t="e">
        <f>IF(Outline!$C$14&gt;0,Gradesheet!#REF!,Gradesheet!#REF!)</f>
        <v>#REF!</v>
      </c>
      <c r="E465" s="138" t="e">
        <f>IF(Outline!$C$14&gt;0,Gradesheet!#REF!,Gradesheet!#REF!)</f>
        <v>#REF!</v>
      </c>
      <c r="F465" s="138" t="e">
        <f>IF(Outline!$C$14&gt;0,Gradesheet!#REF!,"NA")</f>
        <v>#REF!</v>
      </c>
      <c r="G465" s="138" t="e">
        <f>IF(Outline!$C$14&gt;0,Gradesheet!#REF!,Gradesheet!#REF!)</f>
        <v>#REF!</v>
      </c>
      <c r="H465" s="139" t="e">
        <f t="shared" si="8"/>
        <v>#REF!</v>
      </c>
    </row>
    <row r="466" spans="2:8" hidden="1" x14ac:dyDescent="0.25">
      <c r="B466" s="90" t="e">
        <f>Gradesheet!#REF!</f>
        <v>#REF!</v>
      </c>
      <c r="C466" s="91" t="e">
        <f>(Gradesheet!#REF!)</f>
        <v>#REF!</v>
      </c>
      <c r="D466" s="92" t="e">
        <f>IF(Outline!$C$14&gt;0,Gradesheet!#REF!,Gradesheet!#REF!)</f>
        <v>#REF!</v>
      </c>
      <c r="E466" s="138" t="e">
        <f>IF(Outline!$C$14&gt;0,Gradesheet!#REF!,Gradesheet!#REF!)</f>
        <v>#REF!</v>
      </c>
      <c r="F466" s="138" t="e">
        <f>IF(Outline!$C$14&gt;0,Gradesheet!#REF!,"NA")</f>
        <v>#REF!</v>
      </c>
      <c r="G466" s="138" t="e">
        <f>IF(Outline!$C$14&gt;0,Gradesheet!#REF!,Gradesheet!#REF!)</f>
        <v>#REF!</v>
      </c>
      <c r="H466" s="139" t="e">
        <f t="shared" si="8"/>
        <v>#REF!</v>
      </c>
    </row>
    <row r="467" spans="2:8" hidden="1" x14ac:dyDescent="0.25">
      <c r="B467" s="90" t="e">
        <f>Gradesheet!#REF!</f>
        <v>#REF!</v>
      </c>
      <c r="C467" s="91" t="e">
        <f>(Gradesheet!#REF!)</f>
        <v>#REF!</v>
      </c>
      <c r="D467" s="92" t="e">
        <f>IF(Outline!$C$14&gt;0,Gradesheet!#REF!,Gradesheet!#REF!)</f>
        <v>#REF!</v>
      </c>
      <c r="E467" s="138" t="e">
        <f>IF(Outline!$C$14&gt;0,Gradesheet!#REF!,Gradesheet!#REF!)</f>
        <v>#REF!</v>
      </c>
      <c r="F467" s="138" t="e">
        <f>IF(Outline!$C$14&gt;0,Gradesheet!#REF!,"NA")</f>
        <v>#REF!</v>
      </c>
      <c r="G467" s="138" t="e">
        <f>IF(Outline!$C$14&gt;0,Gradesheet!#REF!,Gradesheet!#REF!)</f>
        <v>#REF!</v>
      </c>
      <c r="H467" s="139" t="e">
        <f t="shared" si="8"/>
        <v>#REF!</v>
      </c>
    </row>
    <row r="468" spans="2:8" hidden="1" x14ac:dyDescent="0.25">
      <c r="B468" s="90" t="e">
        <f>Gradesheet!#REF!</f>
        <v>#REF!</v>
      </c>
      <c r="C468" s="91" t="e">
        <f>(Gradesheet!#REF!)</f>
        <v>#REF!</v>
      </c>
      <c r="D468" s="92" t="e">
        <f>IF(Outline!$C$14&gt;0,Gradesheet!#REF!,Gradesheet!#REF!)</f>
        <v>#REF!</v>
      </c>
      <c r="E468" s="138" t="e">
        <f>IF(Outline!$C$14&gt;0,Gradesheet!#REF!,Gradesheet!#REF!)</f>
        <v>#REF!</v>
      </c>
      <c r="F468" s="138" t="e">
        <f>IF(Outline!$C$14&gt;0,Gradesheet!#REF!,"NA")</f>
        <v>#REF!</v>
      </c>
      <c r="G468" s="138" t="e">
        <f>IF(Outline!$C$14&gt;0,Gradesheet!#REF!,Gradesheet!#REF!)</f>
        <v>#REF!</v>
      </c>
      <c r="H468" s="139" t="e">
        <f t="shared" si="8"/>
        <v>#REF!</v>
      </c>
    </row>
    <row r="469" spans="2:8" hidden="1" x14ac:dyDescent="0.25">
      <c r="B469" s="90" t="e">
        <f>Gradesheet!#REF!</f>
        <v>#REF!</v>
      </c>
      <c r="C469" s="91" t="e">
        <f>(Gradesheet!#REF!)</f>
        <v>#REF!</v>
      </c>
      <c r="D469" s="92" t="e">
        <f>IF(Outline!$C$14&gt;0,Gradesheet!#REF!,Gradesheet!#REF!)</f>
        <v>#REF!</v>
      </c>
      <c r="E469" s="138" t="e">
        <f>IF(Outline!$C$14&gt;0,Gradesheet!#REF!,Gradesheet!#REF!)</f>
        <v>#REF!</v>
      </c>
      <c r="F469" s="138" t="e">
        <f>IF(Outline!$C$14&gt;0,Gradesheet!#REF!,"NA")</f>
        <v>#REF!</v>
      </c>
      <c r="G469" s="138" t="e">
        <f>IF(Outline!$C$14&gt;0,Gradesheet!#REF!,Gradesheet!#REF!)</f>
        <v>#REF!</v>
      </c>
      <c r="H469" s="139" t="e">
        <f t="shared" si="8"/>
        <v>#REF!</v>
      </c>
    </row>
    <row r="470" spans="2:8" hidden="1" x14ac:dyDescent="0.25">
      <c r="B470" s="90" t="e">
        <f>Gradesheet!#REF!</f>
        <v>#REF!</v>
      </c>
      <c r="C470" s="91" t="e">
        <f>(Gradesheet!#REF!)</f>
        <v>#REF!</v>
      </c>
      <c r="D470" s="92" t="e">
        <f>IF(Outline!$C$14&gt;0,Gradesheet!#REF!,Gradesheet!#REF!)</f>
        <v>#REF!</v>
      </c>
      <c r="E470" s="138" t="e">
        <f>IF(Outline!$C$14&gt;0,Gradesheet!#REF!,Gradesheet!#REF!)</f>
        <v>#REF!</v>
      </c>
      <c r="F470" s="138" t="e">
        <f>IF(Outline!$C$14&gt;0,Gradesheet!#REF!,"NA")</f>
        <v>#REF!</v>
      </c>
      <c r="G470" s="138" t="e">
        <f>IF(Outline!$C$14&gt;0,Gradesheet!#REF!,Gradesheet!#REF!)</f>
        <v>#REF!</v>
      </c>
      <c r="H470" s="139" t="e">
        <f t="shared" si="8"/>
        <v>#REF!</v>
      </c>
    </row>
    <row r="471" spans="2:8" hidden="1" x14ac:dyDescent="0.25">
      <c r="B471" s="90" t="e">
        <f>Gradesheet!#REF!</f>
        <v>#REF!</v>
      </c>
      <c r="C471" s="91" t="e">
        <f>(Gradesheet!#REF!)</f>
        <v>#REF!</v>
      </c>
      <c r="D471" s="92" t="e">
        <f>IF(Outline!$C$14&gt;0,Gradesheet!#REF!,Gradesheet!#REF!)</f>
        <v>#REF!</v>
      </c>
      <c r="E471" s="138" t="e">
        <f>IF(Outline!$C$14&gt;0,Gradesheet!#REF!,Gradesheet!#REF!)</f>
        <v>#REF!</v>
      </c>
      <c r="F471" s="138" t="e">
        <f>IF(Outline!$C$14&gt;0,Gradesheet!#REF!,"NA")</f>
        <v>#REF!</v>
      </c>
      <c r="G471" s="138" t="e">
        <f>IF(Outline!$C$14&gt;0,Gradesheet!#REF!,Gradesheet!#REF!)</f>
        <v>#REF!</v>
      </c>
      <c r="H471" s="139" t="e">
        <f t="shared" si="8"/>
        <v>#REF!</v>
      </c>
    </row>
    <row r="472" spans="2:8" hidden="1" x14ac:dyDescent="0.25">
      <c r="B472" s="90" t="e">
        <f>Gradesheet!#REF!</f>
        <v>#REF!</v>
      </c>
      <c r="C472" s="91" t="e">
        <f>(Gradesheet!#REF!)</f>
        <v>#REF!</v>
      </c>
      <c r="D472" s="92" t="e">
        <f>IF(Outline!$C$14&gt;0,Gradesheet!#REF!,Gradesheet!#REF!)</f>
        <v>#REF!</v>
      </c>
      <c r="E472" s="138" t="e">
        <f>IF(Outline!$C$14&gt;0,Gradesheet!#REF!,Gradesheet!#REF!)</f>
        <v>#REF!</v>
      </c>
      <c r="F472" s="138" t="e">
        <f>IF(Outline!$C$14&gt;0,Gradesheet!#REF!,"NA")</f>
        <v>#REF!</v>
      </c>
      <c r="G472" s="138" t="e">
        <f>IF(Outline!$C$14&gt;0,Gradesheet!#REF!,Gradesheet!#REF!)</f>
        <v>#REF!</v>
      </c>
      <c r="H472" s="139" t="e">
        <f t="shared" si="8"/>
        <v>#REF!</v>
      </c>
    </row>
    <row r="473" spans="2:8" hidden="1" x14ac:dyDescent="0.25">
      <c r="B473" s="90" t="e">
        <f>Gradesheet!#REF!</f>
        <v>#REF!</v>
      </c>
      <c r="C473" s="91" t="e">
        <f>(Gradesheet!#REF!)</f>
        <v>#REF!</v>
      </c>
      <c r="D473" s="92" t="e">
        <f>IF(Outline!$C$14&gt;0,Gradesheet!#REF!,Gradesheet!#REF!)</f>
        <v>#REF!</v>
      </c>
      <c r="E473" s="138" t="e">
        <f>IF(Outline!$C$14&gt;0,Gradesheet!#REF!,Gradesheet!#REF!)</f>
        <v>#REF!</v>
      </c>
      <c r="F473" s="138" t="e">
        <f>IF(Outline!$C$14&gt;0,Gradesheet!#REF!,"NA")</f>
        <v>#REF!</v>
      </c>
      <c r="G473" s="138" t="e">
        <f>IF(Outline!$C$14&gt;0,Gradesheet!#REF!,Gradesheet!#REF!)</f>
        <v>#REF!</v>
      </c>
      <c r="H473" s="139" t="e">
        <f t="shared" si="8"/>
        <v>#REF!</v>
      </c>
    </row>
    <row r="474" spans="2:8" hidden="1" x14ac:dyDescent="0.25">
      <c r="B474" s="90" t="e">
        <f>Gradesheet!#REF!</f>
        <v>#REF!</v>
      </c>
      <c r="C474" s="91" t="e">
        <f>(Gradesheet!#REF!)</f>
        <v>#REF!</v>
      </c>
      <c r="D474" s="92" t="e">
        <f>IF(Outline!$C$14&gt;0,Gradesheet!#REF!,Gradesheet!#REF!)</f>
        <v>#REF!</v>
      </c>
      <c r="E474" s="138" t="e">
        <f>IF(Outline!$C$14&gt;0,Gradesheet!#REF!,Gradesheet!#REF!)</f>
        <v>#REF!</v>
      </c>
      <c r="F474" s="138" t="e">
        <f>IF(Outline!$C$14&gt;0,Gradesheet!#REF!,"NA")</f>
        <v>#REF!</v>
      </c>
      <c r="G474" s="138" t="e">
        <f>IF(Outline!$C$14&gt;0,Gradesheet!#REF!,Gradesheet!#REF!)</f>
        <v>#REF!</v>
      </c>
      <c r="H474" s="139" t="e">
        <f t="shared" si="8"/>
        <v>#REF!</v>
      </c>
    </row>
    <row r="475" spans="2:8" hidden="1" x14ac:dyDescent="0.25">
      <c r="B475" s="90" t="e">
        <f>Gradesheet!#REF!</f>
        <v>#REF!</v>
      </c>
      <c r="C475" s="91" t="e">
        <f>(Gradesheet!#REF!)</f>
        <v>#REF!</v>
      </c>
      <c r="D475" s="92" t="e">
        <f>IF(Outline!$C$14&gt;0,Gradesheet!#REF!,Gradesheet!#REF!)</f>
        <v>#REF!</v>
      </c>
      <c r="E475" s="138" t="e">
        <f>IF(Outline!$C$14&gt;0,Gradesheet!#REF!,Gradesheet!#REF!)</f>
        <v>#REF!</v>
      </c>
      <c r="F475" s="138" t="e">
        <f>IF(Outline!$C$14&gt;0,Gradesheet!#REF!,"NA")</f>
        <v>#REF!</v>
      </c>
      <c r="G475" s="138" t="e">
        <f>IF(Outline!$C$14&gt;0,Gradesheet!#REF!,Gradesheet!#REF!)</f>
        <v>#REF!</v>
      </c>
      <c r="H475" s="139" t="e">
        <f t="shared" si="8"/>
        <v>#REF!</v>
      </c>
    </row>
    <row r="476" spans="2:8" hidden="1" x14ac:dyDescent="0.25">
      <c r="B476" s="90" t="e">
        <f>Gradesheet!#REF!</f>
        <v>#REF!</v>
      </c>
      <c r="C476" s="91" t="e">
        <f>(Gradesheet!#REF!)</f>
        <v>#REF!</v>
      </c>
      <c r="D476" s="92" t="e">
        <f>IF(Outline!$C$14&gt;0,Gradesheet!#REF!,Gradesheet!#REF!)</f>
        <v>#REF!</v>
      </c>
      <c r="E476" s="138" t="e">
        <f>IF(Outline!$C$14&gt;0,Gradesheet!#REF!,Gradesheet!#REF!)</f>
        <v>#REF!</v>
      </c>
      <c r="F476" s="138" t="e">
        <f>IF(Outline!$C$14&gt;0,Gradesheet!#REF!,"NA")</f>
        <v>#REF!</v>
      </c>
      <c r="G476" s="138" t="e">
        <f>IF(Outline!$C$14&gt;0,Gradesheet!#REF!,Gradesheet!#REF!)</f>
        <v>#REF!</v>
      </c>
      <c r="H476" s="139" t="e">
        <f t="shared" si="8"/>
        <v>#REF!</v>
      </c>
    </row>
    <row r="477" spans="2:8" hidden="1" x14ac:dyDescent="0.25">
      <c r="B477" s="90" t="e">
        <f>Gradesheet!#REF!</f>
        <v>#REF!</v>
      </c>
      <c r="C477" s="91" t="e">
        <f>(Gradesheet!#REF!)</f>
        <v>#REF!</v>
      </c>
      <c r="D477" s="92" t="e">
        <f>IF(Outline!$C$14&gt;0,Gradesheet!#REF!,Gradesheet!#REF!)</f>
        <v>#REF!</v>
      </c>
      <c r="E477" s="138" t="e">
        <f>IF(Outline!$C$14&gt;0,Gradesheet!#REF!,Gradesheet!#REF!)</f>
        <v>#REF!</v>
      </c>
      <c r="F477" s="138" t="e">
        <f>IF(Outline!$C$14&gt;0,Gradesheet!#REF!,"NA")</f>
        <v>#REF!</v>
      </c>
      <c r="G477" s="138" t="e">
        <f>IF(Outline!$C$14&gt;0,Gradesheet!#REF!,Gradesheet!#REF!)</f>
        <v>#REF!</v>
      </c>
      <c r="H477" s="139" t="e">
        <f t="shared" si="8"/>
        <v>#REF!</v>
      </c>
    </row>
    <row r="478" spans="2:8" hidden="1" x14ac:dyDescent="0.25">
      <c r="B478" s="90" t="e">
        <f>Gradesheet!#REF!</f>
        <v>#REF!</v>
      </c>
      <c r="C478" s="91" t="e">
        <f>(Gradesheet!#REF!)</f>
        <v>#REF!</v>
      </c>
      <c r="D478" s="92" t="e">
        <f>IF(Outline!$C$14&gt;0,Gradesheet!#REF!,Gradesheet!#REF!)</f>
        <v>#REF!</v>
      </c>
      <c r="E478" s="138" t="e">
        <f>IF(Outline!$C$14&gt;0,Gradesheet!#REF!,Gradesheet!#REF!)</f>
        <v>#REF!</v>
      </c>
      <c r="F478" s="138" t="e">
        <f>IF(Outline!$C$14&gt;0,Gradesheet!#REF!,"NA")</f>
        <v>#REF!</v>
      </c>
      <c r="G478" s="138" t="e">
        <f>IF(Outline!$C$14&gt;0,Gradesheet!#REF!,Gradesheet!#REF!)</f>
        <v>#REF!</v>
      </c>
      <c r="H478" s="139" t="e">
        <f t="shared" si="8"/>
        <v>#REF!</v>
      </c>
    </row>
    <row r="479" spans="2:8" hidden="1" x14ac:dyDescent="0.25">
      <c r="B479" s="90" t="e">
        <f>Gradesheet!#REF!</f>
        <v>#REF!</v>
      </c>
      <c r="C479" s="91" t="e">
        <f>(Gradesheet!#REF!)</f>
        <v>#REF!</v>
      </c>
      <c r="D479" s="92" t="e">
        <f>IF(Outline!$C$14&gt;0,Gradesheet!#REF!,Gradesheet!#REF!)</f>
        <v>#REF!</v>
      </c>
      <c r="E479" s="138" t="e">
        <f>IF(Outline!$C$14&gt;0,Gradesheet!#REF!,Gradesheet!#REF!)</f>
        <v>#REF!</v>
      </c>
      <c r="F479" s="138" t="e">
        <f>IF(Outline!$C$14&gt;0,Gradesheet!#REF!,"NA")</f>
        <v>#REF!</v>
      </c>
      <c r="G479" s="138" t="e">
        <f>IF(Outline!$C$14&gt;0,Gradesheet!#REF!,Gradesheet!#REF!)</f>
        <v>#REF!</v>
      </c>
      <c r="H479" s="139" t="e">
        <f t="shared" si="8"/>
        <v>#REF!</v>
      </c>
    </row>
    <row r="480" spans="2:8" hidden="1" x14ac:dyDescent="0.25">
      <c r="B480" s="90" t="e">
        <f>Gradesheet!#REF!</f>
        <v>#REF!</v>
      </c>
      <c r="C480" s="91" t="e">
        <f>(Gradesheet!#REF!)</f>
        <v>#REF!</v>
      </c>
      <c r="D480" s="92" t="e">
        <f>IF(Outline!$C$14&gt;0,Gradesheet!#REF!,Gradesheet!#REF!)</f>
        <v>#REF!</v>
      </c>
      <c r="E480" s="138" t="e">
        <f>IF(Outline!$C$14&gt;0,Gradesheet!#REF!,Gradesheet!#REF!)</f>
        <v>#REF!</v>
      </c>
      <c r="F480" s="138" t="e">
        <f>IF(Outline!$C$14&gt;0,Gradesheet!#REF!,"NA")</f>
        <v>#REF!</v>
      </c>
      <c r="G480" s="138" t="e">
        <f>IF(Outline!$C$14&gt;0,Gradesheet!#REF!,Gradesheet!#REF!)</f>
        <v>#REF!</v>
      </c>
      <c r="H480" s="139" t="e">
        <f t="shared" si="8"/>
        <v>#REF!</v>
      </c>
    </row>
    <row r="481" spans="2:8" hidden="1" x14ac:dyDescent="0.25">
      <c r="B481" s="90" t="e">
        <f>Gradesheet!#REF!</f>
        <v>#REF!</v>
      </c>
      <c r="C481" s="91" t="e">
        <f>(Gradesheet!#REF!)</f>
        <v>#REF!</v>
      </c>
      <c r="D481" s="92" t="e">
        <f>IF(Outline!$C$14&gt;0,Gradesheet!#REF!,Gradesheet!#REF!)</f>
        <v>#REF!</v>
      </c>
      <c r="E481" s="138" t="e">
        <f>IF(Outline!$C$14&gt;0,Gradesheet!#REF!,Gradesheet!#REF!)</f>
        <v>#REF!</v>
      </c>
      <c r="F481" s="138" t="e">
        <f>IF(Outline!$C$14&gt;0,Gradesheet!#REF!,"NA")</f>
        <v>#REF!</v>
      </c>
      <c r="G481" s="138" t="e">
        <f>IF(Outline!$C$14&gt;0,Gradesheet!#REF!,Gradesheet!#REF!)</f>
        <v>#REF!</v>
      </c>
      <c r="H481" s="139" t="e">
        <f t="shared" si="8"/>
        <v>#REF!</v>
      </c>
    </row>
    <row r="482" spans="2:8" hidden="1" x14ac:dyDescent="0.25">
      <c r="B482" s="90" t="e">
        <f>Gradesheet!#REF!</f>
        <v>#REF!</v>
      </c>
      <c r="C482" s="91" t="e">
        <f>(Gradesheet!#REF!)</f>
        <v>#REF!</v>
      </c>
      <c r="D482" s="92" t="e">
        <f>IF(Outline!$C$14&gt;0,Gradesheet!#REF!,Gradesheet!#REF!)</f>
        <v>#REF!</v>
      </c>
      <c r="E482" s="138" t="e">
        <f>IF(Outline!$C$14&gt;0,Gradesheet!#REF!,Gradesheet!#REF!)</f>
        <v>#REF!</v>
      </c>
      <c r="F482" s="138" t="e">
        <f>IF(Outline!$C$14&gt;0,Gradesheet!#REF!,"NA")</f>
        <v>#REF!</v>
      </c>
      <c r="G482" s="138" t="e">
        <f>IF(Outline!$C$14&gt;0,Gradesheet!#REF!,Gradesheet!#REF!)</f>
        <v>#REF!</v>
      </c>
      <c r="H482" s="139" t="e">
        <f t="shared" si="8"/>
        <v>#REF!</v>
      </c>
    </row>
    <row r="483" spans="2:8" hidden="1" x14ac:dyDescent="0.25">
      <c r="B483" s="90" t="e">
        <f>Gradesheet!#REF!</f>
        <v>#REF!</v>
      </c>
      <c r="C483" s="91" t="e">
        <f>(Gradesheet!#REF!)</f>
        <v>#REF!</v>
      </c>
      <c r="D483" s="92" t="e">
        <f>IF(Outline!$C$14&gt;0,Gradesheet!#REF!,Gradesheet!#REF!)</f>
        <v>#REF!</v>
      </c>
      <c r="E483" s="138" t="e">
        <f>IF(Outline!$C$14&gt;0,Gradesheet!#REF!,Gradesheet!#REF!)</f>
        <v>#REF!</v>
      </c>
      <c r="F483" s="138" t="e">
        <f>IF(Outline!$C$14&gt;0,Gradesheet!#REF!,"NA")</f>
        <v>#REF!</v>
      </c>
      <c r="G483" s="138" t="e">
        <f>IF(Outline!$C$14&gt;0,Gradesheet!#REF!,Gradesheet!#REF!)</f>
        <v>#REF!</v>
      </c>
      <c r="H483" s="139" t="e">
        <f t="shared" si="8"/>
        <v>#REF!</v>
      </c>
    </row>
    <row r="484" spans="2:8" hidden="1" x14ac:dyDescent="0.25">
      <c r="B484" s="90" t="e">
        <f>Gradesheet!#REF!</f>
        <v>#REF!</v>
      </c>
      <c r="C484" s="91" t="e">
        <f>(Gradesheet!#REF!)</f>
        <v>#REF!</v>
      </c>
      <c r="D484" s="92" t="e">
        <f>IF(Outline!$C$14&gt;0,Gradesheet!#REF!,Gradesheet!#REF!)</f>
        <v>#REF!</v>
      </c>
      <c r="E484" s="138" t="e">
        <f>IF(Outline!$C$14&gt;0,Gradesheet!#REF!,Gradesheet!#REF!)</f>
        <v>#REF!</v>
      </c>
      <c r="F484" s="138" t="e">
        <f>IF(Outline!$C$14&gt;0,Gradesheet!#REF!,"NA")</f>
        <v>#REF!</v>
      </c>
      <c r="G484" s="138" t="e">
        <f>IF(Outline!$C$14&gt;0,Gradesheet!#REF!,Gradesheet!#REF!)</f>
        <v>#REF!</v>
      </c>
      <c r="H484" s="139" t="e">
        <f t="shared" si="8"/>
        <v>#REF!</v>
      </c>
    </row>
    <row r="485" spans="2:8" hidden="1" x14ac:dyDescent="0.25">
      <c r="B485" s="90" t="e">
        <f>Gradesheet!#REF!</f>
        <v>#REF!</v>
      </c>
      <c r="C485" s="91" t="e">
        <f>(Gradesheet!#REF!)</f>
        <v>#REF!</v>
      </c>
      <c r="D485" s="92" t="e">
        <f>IF(Outline!$C$14&gt;0,Gradesheet!#REF!,Gradesheet!#REF!)</f>
        <v>#REF!</v>
      </c>
      <c r="E485" s="138" t="e">
        <f>IF(Outline!$C$14&gt;0,Gradesheet!#REF!,Gradesheet!#REF!)</f>
        <v>#REF!</v>
      </c>
      <c r="F485" s="138" t="e">
        <f>IF(Outline!$C$14&gt;0,Gradesheet!#REF!,"NA")</f>
        <v>#REF!</v>
      </c>
      <c r="G485" s="138" t="e">
        <f>IF(Outline!$C$14&gt;0,Gradesheet!#REF!,Gradesheet!#REF!)</f>
        <v>#REF!</v>
      </c>
      <c r="H485" s="139" t="e">
        <f t="shared" si="8"/>
        <v>#REF!</v>
      </c>
    </row>
    <row r="486" spans="2:8" hidden="1" x14ac:dyDescent="0.25">
      <c r="B486" s="90" t="e">
        <f>Gradesheet!#REF!</f>
        <v>#REF!</v>
      </c>
      <c r="C486" s="91" t="e">
        <f>(Gradesheet!#REF!)</f>
        <v>#REF!</v>
      </c>
      <c r="D486" s="92" t="e">
        <f>IF(Outline!$C$14&gt;0,Gradesheet!#REF!,Gradesheet!#REF!)</f>
        <v>#REF!</v>
      </c>
      <c r="E486" s="138" t="e">
        <f>IF(Outline!$C$14&gt;0,Gradesheet!#REF!,Gradesheet!#REF!)</f>
        <v>#REF!</v>
      </c>
      <c r="F486" s="138" t="e">
        <f>IF(Outline!$C$14&gt;0,Gradesheet!#REF!,"NA")</f>
        <v>#REF!</v>
      </c>
      <c r="G486" s="138" t="e">
        <f>IF(Outline!$C$14&gt;0,Gradesheet!#REF!,Gradesheet!#REF!)</f>
        <v>#REF!</v>
      </c>
      <c r="H486" s="139" t="e">
        <f t="shared" si="8"/>
        <v>#REF!</v>
      </c>
    </row>
    <row r="487" spans="2:8" hidden="1" x14ac:dyDescent="0.25">
      <c r="B487" s="90" t="e">
        <f>Gradesheet!#REF!</f>
        <v>#REF!</v>
      </c>
      <c r="C487" s="91" t="e">
        <f>(Gradesheet!#REF!)</f>
        <v>#REF!</v>
      </c>
      <c r="D487" s="92" t="e">
        <f>IF(Outline!$C$14&gt;0,Gradesheet!#REF!,Gradesheet!#REF!)</f>
        <v>#REF!</v>
      </c>
      <c r="E487" s="138" t="e">
        <f>IF(Outline!$C$14&gt;0,Gradesheet!#REF!,Gradesheet!#REF!)</f>
        <v>#REF!</v>
      </c>
      <c r="F487" s="138" t="e">
        <f>IF(Outline!$C$14&gt;0,Gradesheet!#REF!,"NA")</f>
        <v>#REF!</v>
      </c>
      <c r="G487" s="138" t="e">
        <f>IF(Outline!$C$14&gt;0,Gradesheet!#REF!,Gradesheet!#REF!)</f>
        <v>#REF!</v>
      </c>
      <c r="H487" s="139" t="e">
        <f t="shared" si="8"/>
        <v>#REF!</v>
      </c>
    </row>
    <row r="488" spans="2:8" hidden="1" x14ac:dyDescent="0.25">
      <c r="B488" s="90" t="e">
        <f>Gradesheet!#REF!</f>
        <v>#REF!</v>
      </c>
      <c r="C488" s="91" t="e">
        <f>(Gradesheet!#REF!)</f>
        <v>#REF!</v>
      </c>
      <c r="D488" s="92" t="e">
        <f>IF(Outline!$C$14&gt;0,Gradesheet!#REF!,Gradesheet!#REF!)</f>
        <v>#REF!</v>
      </c>
      <c r="E488" s="138" t="e">
        <f>IF(Outline!$C$14&gt;0,Gradesheet!#REF!,Gradesheet!#REF!)</f>
        <v>#REF!</v>
      </c>
      <c r="F488" s="138" t="e">
        <f>IF(Outline!$C$14&gt;0,Gradesheet!#REF!,"NA")</f>
        <v>#REF!</v>
      </c>
      <c r="G488" s="138" t="e">
        <f>IF(Outline!$C$14&gt;0,Gradesheet!#REF!,Gradesheet!#REF!)</f>
        <v>#REF!</v>
      </c>
      <c r="H488" s="139" t="e">
        <f t="shared" si="8"/>
        <v>#REF!</v>
      </c>
    </row>
    <row r="489" spans="2:8" hidden="1" x14ac:dyDescent="0.25">
      <c r="B489" s="90" t="e">
        <f>Gradesheet!#REF!</f>
        <v>#REF!</v>
      </c>
      <c r="C489" s="91" t="e">
        <f>(Gradesheet!#REF!)</f>
        <v>#REF!</v>
      </c>
      <c r="D489" s="92" t="e">
        <f>IF(Outline!$C$14&gt;0,Gradesheet!#REF!,Gradesheet!#REF!)</f>
        <v>#REF!</v>
      </c>
      <c r="E489" s="138" t="e">
        <f>IF(Outline!$C$14&gt;0,Gradesheet!#REF!,Gradesheet!#REF!)</f>
        <v>#REF!</v>
      </c>
      <c r="F489" s="138" t="e">
        <f>IF(Outline!$C$14&gt;0,Gradesheet!#REF!,"NA")</f>
        <v>#REF!</v>
      </c>
      <c r="G489" s="138" t="e">
        <f>IF(Outline!$C$14&gt;0,Gradesheet!#REF!,Gradesheet!#REF!)</f>
        <v>#REF!</v>
      </c>
      <c r="H489" s="139" t="e">
        <f t="shared" si="8"/>
        <v>#REF!</v>
      </c>
    </row>
    <row r="490" spans="2:8" hidden="1" x14ac:dyDescent="0.25">
      <c r="B490" s="90" t="e">
        <f>Gradesheet!#REF!</f>
        <v>#REF!</v>
      </c>
      <c r="C490" s="91" t="e">
        <f>(Gradesheet!#REF!)</f>
        <v>#REF!</v>
      </c>
      <c r="D490" s="92" t="e">
        <f>IF(Outline!$C$14&gt;0,Gradesheet!#REF!,Gradesheet!#REF!)</f>
        <v>#REF!</v>
      </c>
      <c r="E490" s="138" t="e">
        <f>IF(Outline!$C$14&gt;0,Gradesheet!#REF!,Gradesheet!#REF!)</f>
        <v>#REF!</v>
      </c>
      <c r="F490" s="138" t="e">
        <f>IF(Outline!$C$14&gt;0,Gradesheet!#REF!,"NA")</f>
        <v>#REF!</v>
      </c>
      <c r="G490" s="138" t="e">
        <f>IF(Outline!$C$14&gt;0,Gradesheet!#REF!,Gradesheet!#REF!)</f>
        <v>#REF!</v>
      </c>
      <c r="H490" s="139" t="e">
        <f t="shared" si="8"/>
        <v>#REF!</v>
      </c>
    </row>
    <row r="491" spans="2:8" hidden="1" x14ac:dyDescent="0.25">
      <c r="B491" s="90" t="e">
        <f>Gradesheet!#REF!</f>
        <v>#REF!</v>
      </c>
      <c r="C491" s="91" t="e">
        <f>(Gradesheet!#REF!)</f>
        <v>#REF!</v>
      </c>
      <c r="D491" s="92" t="e">
        <f>IF(Outline!$C$14&gt;0,Gradesheet!#REF!,Gradesheet!#REF!)</f>
        <v>#REF!</v>
      </c>
      <c r="E491" s="138" t="e">
        <f>IF(Outline!$C$14&gt;0,Gradesheet!#REF!,Gradesheet!#REF!)</f>
        <v>#REF!</v>
      </c>
      <c r="F491" s="138" t="e">
        <f>IF(Outline!$C$14&gt;0,Gradesheet!#REF!,"NA")</f>
        <v>#REF!</v>
      </c>
      <c r="G491" s="138" t="e">
        <f>IF(Outline!$C$14&gt;0,Gradesheet!#REF!,Gradesheet!#REF!)</f>
        <v>#REF!</v>
      </c>
      <c r="H491" s="139" t="e">
        <f t="shared" si="8"/>
        <v>#REF!</v>
      </c>
    </row>
    <row r="492" spans="2:8" hidden="1" x14ac:dyDescent="0.25">
      <c r="B492" s="90" t="e">
        <f>Gradesheet!#REF!</f>
        <v>#REF!</v>
      </c>
      <c r="C492" s="91" t="e">
        <f>(Gradesheet!#REF!)</f>
        <v>#REF!</v>
      </c>
      <c r="D492" s="92" t="e">
        <f>IF(Outline!$C$14&gt;0,Gradesheet!#REF!,Gradesheet!#REF!)</f>
        <v>#REF!</v>
      </c>
      <c r="E492" s="138" t="e">
        <f>IF(Outline!$C$14&gt;0,Gradesheet!#REF!,Gradesheet!#REF!)</f>
        <v>#REF!</v>
      </c>
      <c r="F492" s="138" t="e">
        <f>IF(Outline!$C$14&gt;0,Gradesheet!#REF!,"NA")</f>
        <v>#REF!</v>
      </c>
      <c r="G492" s="138" t="e">
        <f>IF(Outline!$C$14&gt;0,Gradesheet!#REF!,Gradesheet!#REF!)</f>
        <v>#REF!</v>
      </c>
      <c r="H492" s="139" t="e">
        <f t="shared" si="8"/>
        <v>#REF!</v>
      </c>
    </row>
    <row r="493" spans="2:8" hidden="1" x14ac:dyDescent="0.25">
      <c r="B493" s="90" t="e">
        <f>Gradesheet!#REF!</f>
        <v>#REF!</v>
      </c>
      <c r="C493" s="91" t="e">
        <f>(Gradesheet!#REF!)</f>
        <v>#REF!</v>
      </c>
      <c r="D493" s="92" t="e">
        <f>IF(Outline!$C$14&gt;0,Gradesheet!#REF!,Gradesheet!#REF!)</f>
        <v>#REF!</v>
      </c>
      <c r="E493" s="138" t="e">
        <f>IF(Outline!$C$14&gt;0,Gradesheet!#REF!,Gradesheet!#REF!)</f>
        <v>#REF!</v>
      </c>
      <c r="F493" s="138" t="e">
        <f>IF(Outline!$C$14&gt;0,Gradesheet!#REF!,"NA")</f>
        <v>#REF!</v>
      </c>
      <c r="G493" s="138" t="e">
        <f>IF(Outline!$C$14&gt;0,Gradesheet!#REF!,Gradesheet!#REF!)</f>
        <v>#REF!</v>
      </c>
      <c r="H493" s="139" t="e">
        <f t="shared" si="8"/>
        <v>#REF!</v>
      </c>
    </row>
    <row r="494" spans="2:8" hidden="1" x14ac:dyDescent="0.25">
      <c r="B494" s="90" t="e">
        <f>Gradesheet!#REF!</f>
        <v>#REF!</v>
      </c>
      <c r="C494" s="91" t="e">
        <f>(Gradesheet!#REF!)</f>
        <v>#REF!</v>
      </c>
      <c r="D494" s="92" t="e">
        <f>IF(Outline!$C$14&gt;0,Gradesheet!#REF!,Gradesheet!#REF!)</f>
        <v>#REF!</v>
      </c>
      <c r="E494" s="138" t="e">
        <f>IF(Outline!$C$14&gt;0,Gradesheet!#REF!,Gradesheet!#REF!)</f>
        <v>#REF!</v>
      </c>
      <c r="F494" s="138" t="e">
        <f>IF(Outline!$C$14&gt;0,Gradesheet!#REF!,"NA")</f>
        <v>#REF!</v>
      </c>
      <c r="G494" s="138" t="e">
        <f>IF(Outline!$C$14&gt;0,Gradesheet!#REF!,Gradesheet!#REF!)</f>
        <v>#REF!</v>
      </c>
      <c r="H494" s="139" t="e">
        <f t="shared" si="8"/>
        <v>#REF!</v>
      </c>
    </row>
    <row r="495" spans="2:8" hidden="1" x14ac:dyDescent="0.25">
      <c r="B495" s="90" t="e">
        <f>Gradesheet!#REF!</f>
        <v>#REF!</v>
      </c>
      <c r="C495" s="91" t="e">
        <f>(Gradesheet!#REF!)</f>
        <v>#REF!</v>
      </c>
      <c r="D495" s="92" t="e">
        <f>IF(Outline!$C$14&gt;0,Gradesheet!#REF!,Gradesheet!#REF!)</f>
        <v>#REF!</v>
      </c>
      <c r="E495" s="138" t="e">
        <f>IF(Outline!$C$14&gt;0,Gradesheet!#REF!,Gradesheet!#REF!)</f>
        <v>#REF!</v>
      </c>
      <c r="F495" s="138" t="e">
        <f>IF(Outline!$C$14&gt;0,Gradesheet!#REF!,"NA")</f>
        <v>#REF!</v>
      </c>
      <c r="G495" s="138" t="e">
        <f>IF(Outline!$C$14&gt;0,Gradesheet!#REF!,Gradesheet!#REF!)</f>
        <v>#REF!</v>
      </c>
      <c r="H495" s="139" t="e">
        <f t="shared" si="8"/>
        <v>#REF!</v>
      </c>
    </row>
    <row r="496" spans="2:8" hidden="1" x14ac:dyDescent="0.25">
      <c r="B496" s="90" t="e">
        <f>Gradesheet!#REF!</f>
        <v>#REF!</v>
      </c>
      <c r="C496" s="91" t="e">
        <f>(Gradesheet!#REF!)</f>
        <v>#REF!</v>
      </c>
      <c r="D496" s="92" t="e">
        <f>IF(Outline!$C$14&gt;0,Gradesheet!#REF!,Gradesheet!#REF!)</f>
        <v>#REF!</v>
      </c>
      <c r="E496" s="138" t="e">
        <f>IF(Outline!$C$14&gt;0,Gradesheet!#REF!,Gradesheet!#REF!)</f>
        <v>#REF!</v>
      </c>
      <c r="F496" s="138" t="e">
        <f>IF(Outline!$C$14&gt;0,Gradesheet!#REF!,"NA")</f>
        <v>#REF!</v>
      </c>
      <c r="G496" s="138" t="e">
        <f>IF(Outline!$C$14&gt;0,Gradesheet!#REF!,Gradesheet!#REF!)</f>
        <v>#REF!</v>
      </c>
      <c r="H496" s="139" t="e">
        <f t="shared" si="8"/>
        <v>#REF!</v>
      </c>
    </row>
    <row r="497" spans="2:8" hidden="1" x14ac:dyDescent="0.25">
      <c r="B497" s="90" t="e">
        <f>Gradesheet!#REF!</f>
        <v>#REF!</v>
      </c>
      <c r="C497" s="91" t="e">
        <f>(Gradesheet!#REF!)</f>
        <v>#REF!</v>
      </c>
      <c r="D497" s="92" t="e">
        <f>IF(Outline!$C$14&gt;0,Gradesheet!#REF!,Gradesheet!#REF!)</f>
        <v>#REF!</v>
      </c>
      <c r="E497" s="138" t="e">
        <f>IF(Outline!$C$14&gt;0,Gradesheet!#REF!,Gradesheet!#REF!)</f>
        <v>#REF!</v>
      </c>
      <c r="F497" s="138" t="e">
        <f>IF(Outline!$C$14&gt;0,Gradesheet!#REF!,"NA")</f>
        <v>#REF!</v>
      </c>
      <c r="G497" s="138" t="e">
        <f>IF(Outline!$C$14&gt;0,Gradesheet!#REF!,Gradesheet!#REF!)</f>
        <v>#REF!</v>
      </c>
      <c r="H497" s="139" t="e">
        <f t="shared" si="8"/>
        <v>#REF!</v>
      </c>
    </row>
    <row r="498" spans="2:8" hidden="1" x14ac:dyDescent="0.25">
      <c r="B498" s="90" t="e">
        <f>Gradesheet!#REF!</f>
        <v>#REF!</v>
      </c>
      <c r="C498" s="91" t="e">
        <f>(Gradesheet!#REF!)</f>
        <v>#REF!</v>
      </c>
      <c r="D498" s="92" t="e">
        <f>IF(Outline!$C$14&gt;0,Gradesheet!#REF!,Gradesheet!#REF!)</f>
        <v>#REF!</v>
      </c>
      <c r="E498" s="138" t="e">
        <f>IF(Outline!$C$14&gt;0,Gradesheet!#REF!,Gradesheet!#REF!)</f>
        <v>#REF!</v>
      </c>
      <c r="F498" s="138" t="e">
        <f>IF(Outline!$C$14&gt;0,Gradesheet!#REF!,"NA")</f>
        <v>#REF!</v>
      </c>
      <c r="G498" s="138" t="e">
        <f>IF(Outline!$C$14&gt;0,Gradesheet!#REF!,Gradesheet!#REF!)</f>
        <v>#REF!</v>
      </c>
      <c r="H498" s="139" t="e">
        <f t="shared" si="8"/>
        <v>#REF!</v>
      </c>
    </row>
    <row r="499" spans="2:8" hidden="1" x14ac:dyDescent="0.25">
      <c r="B499" s="90" t="e">
        <f>Gradesheet!#REF!</f>
        <v>#REF!</v>
      </c>
      <c r="C499" s="91" t="e">
        <f>(Gradesheet!#REF!)</f>
        <v>#REF!</v>
      </c>
      <c r="D499" s="92" t="e">
        <f>IF(Outline!$C$14&gt;0,Gradesheet!#REF!,Gradesheet!#REF!)</f>
        <v>#REF!</v>
      </c>
      <c r="E499" s="138" t="e">
        <f>IF(Outline!$C$14&gt;0,Gradesheet!#REF!,Gradesheet!#REF!)</f>
        <v>#REF!</v>
      </c>
      <c r="F499" s="138" t="e">
        <f>IF(Outline!$C$14&gt;0,Gradesheet!#REF!,"NA")</f>
        <v>#REF!</v>
      </c>
      <c r="G499" s="138" t="e">
        <f>IF(Outline!$C$14&gt;0,Gradesheet!#REF!,Gradesheet!#REF!)</f>
        <v>#REF!</v>
      </c>
      <c r="H499" s="139" t="e">
        <f t="shared" si="8"/>
        <v>#REF!</v>
      </c>
    </row>
    <row r="500" spans="2:8" hidden="1" x14ac:dyDescent="0.25">
      <c r="B500" s="90" t="e">
        <f>Gradesheet!#REF!</f>
        <v>#REF!</v>
      </c>
      <c r="C500" s="91" t="e">
        <f>(Gradesheet!#REF!)</f>
        <v>#REF!</v>
      </c>
      <c r="D500" s="92" t="e">
        <f>IF(Outline!$C$14&gt;0,Gradesheet!#REF!,Gradesheet!#REF!)</f>
        <v>#REF!</v>
      </c>
      <c r="E500" s="138" t="e">
        <f>IF(Outline!$C$14&gt;0,Gradesheet!#REF!,Gradesheet!#REF!)</f>
        <v>#REF!</v>
      </c>
      <c r="F500" s="138" t="e">
        <f>IF(Outline!$C$14&gt;0,Gradesheet!#REF!,"NA")</f>
        <v>#REF!</v>
      </c>
      <c r="G500" s="138" t="e">
        <f>IF(Outline!$C$14&gt;0,Gradesheet!#REF!,Gradesheet!#REF!)</f>
        <v>#REF!</v>
      </c>
      <c r="H500" s="139" t="e">
        <f t="shared" si="8"/>
        <v>#REF!</v>
      </c>
    </row>
    <row r="501" spans="2:8" hidden="1" x14ac:dyDescent="0.25">
      <c r="B501" s="90" t="e">
        <f>Gradesheet!#REF!</f>
        <v>#REF!</v>
      </c>
      <c r="C501" s="91" t="e">
        <f>(Gradesheet!#REF!)</f>
        <v>#REF!</v>
      </c>
      <c r="D501" s="92" t="e">
        <f>IF(Outline!$C$14&gt;0,Gradesheet!#REF!,Gradesheet!#REF!)</f>
        <v>#REF!</v>
      </c>
      <c r="E501" s="138" t="e">
        <f>IF(Outline!$C$14&gt;0,Gradesheet!#REF!,Gradesheet!#REF!)</f>
        <v>#REF!</v>
      </c>
      <c r="F501" s="138" t="e">
        <f>IF(Outline!$C$14&gt;0,Gradesheet!#REF!,"NA")</f>
        <v>#REF!</v>
      </c>
      <c r="G501" s="138" t="e">
        <f>IF(Outline!$C$14&gt;0,Gradesheet!#REF!,Gradesheet!#REF!)</f>
        <v>#REF!</v>
      </c>
      <c r="H501" s="139" t="e">
        <f t="shared" si="8"/>
        <v>#REF!</v>
      </c>
    </row>
    <row r="502" spans="2:8" hidden="1" x14ac:dyDescent="0.25">
      <c r="B502" s="90" t="e">
        <f>Gradesheet!#REF!</f>
        <v>#REF!</v>
      </c>
      <c r="C502" s="91" t="e">
        <f>(Gradesheet!#REF!)</f>
        <v>#REF!</v>
      </c>
      <c r="D502" s="92" t="e">
        <f>IF(Outline!$C$14&gt;0,Gradesheet!#REF!,Gradesheet!#REF!)</f>
        <v>#REF!</v>
      </c>
      <c r="E502" s="138" t="e">
        <f>IF(Outline!$C$14&gt;0,Gradesheet!#REF!,Gradesheet!#REF!)</f>
        <v>#REF!</v>
      </c>
      <c r="F502" s="138" t="e">
        <f>IF(Outline!$C$14&gt;0,Gradesheet!#REF!,"NA")</f>
        <v>#REF!</v>
      </c>
      <c r="G502" s="138" t="e">
        <f>IF(Outline!$C$14&gt;0,Gradesheet!#REF!,Gradesheet!#REF!)</f>
        <v>#REF!</v>
      </c>
      <c r="H502" s="139" t="e">
        <f t="shared" si="8"/>
        <v>#REF!</v>
      </c>
    </row>
    <row r="503" spans="2:8" hidden="1" x14ac:dyDescent="0.25">
      <c r="B503" s="90" t="e">
        <f>Gradesheet!#REF!</f>
        <v>#REF!</v>
      </c>
      <c r="C503" s="91" t="e">
        <f>(Gradesheet!#REF!)</f>
        <v>#REF!</v>
      </c>
      <c r="D503" s="92" t="e">
        <f>IF(Outline!$C$14&gt;0,Gradesheet!#REF!,Gradesheet!#REF!)</f>
        <v>#REF!</v>
      </c>
      <c r="E503" s="138" t="e">
        <f>IF(Outline!$C$14&gt;0,Gradesheet!#REF!,Gradesheet!#REF!)</f>
        <v>#REF!</v>
      </c>
      <c r="F503" s="138" t="e">
        <f>IF(Outline!$C$14&gt;0,Gradesheet!#REF!,"NA")</f>
        <v>#REF!</v>
      </c>
      <c r="G503" s="138" t="e">
        <f>IF(Outline!$C$14&gt;0,Gradesheet!#REF!,Gradesheet!#REF!)</f>
        <v>#REF!</v>
      </c>
      <c r="H503" s="139" t="e">
        <f t="shared" si="8"/>
        <v>#REF!</v>
      </c>
    </row>
    <row r="504" spans="2:8" hidden="1" x14ac:dyDescent="0.25">
      <c r="B504" s="90" t="e">
        <f>Gradesheet!#REF!</f>
        <v>#REF!</v>
      </c>
      <c r="C504" s="91" t="e">
        <f>(Gradesheet!#REF!)</f>
        <v>#REF!</v>
      </c>
      <c r="D504" s="92" t="e">
        <f>IF(Outline!$C$14&gt;0,Gradesheet!#REF!,Gradesheet!#REF!)</f>
        <v>#REF!</v>
      </c>
      <c r="E504" s="138" t="e">
        <f>IF(Outline!$C$14&gt;0,Gradesheet!#REF!,Gradesheet!#REF!)</f>
        <v>#REF!</v>
      </c>
      <c r="F504" s="138" t="e">
        <f>IF(Outline!$C$14&gt;0,Gradesheet!#REF!,"NA")</f>
        <v>#REF!</v>
      </c>
      <c r="G504" s="138" t="e">
        <f>IF(Outline!$C$14&gt;0,Gradesheet!#REF!,Gradesheet!#REF!)</f>
        <v>#REF!</v>
      </c>
      <c r="H504" s="139" t="e">
        <f t="shared" si="8"/>
        <v>#REF!</v>
      </c>
    </row>
    <row r="505" spans="2:8" hidden="1" x14ac:dyDescent="0.25">
      <c r="B505" s="90" t="e">
        <f>Gradesheet!#REF!</f>
        <v>#REF!</v>
      </c>
      <c r="C505" s="91" t="e">
        <f>(Gradesheet!#REF!)</f>
        <v>#REF!</v>
      </c>
      <c r="D505" s="92" t="e">
        <f>IF(Outline!$C$14&gt;0,Gradesheet!#REF!,Gradesheet!#REF!)</f>
        <v>#REF!</v>
      </c>
      <c r="E505" s="138" t="e">
        <f>IF(Outline!$C$14&gt;0,Gradesheet!#REF!,Gradesheet!#REF!)</f>
        <v>#REF!</v>
      </c>
      <c r="F505" s="138" t="e">
        <f>IF(Outline!$C$14&gt;0,Gradesheet!#REF!,"NA")</f>
        <v>#REF!</v>
      </c>
      <c r="G505" s="138" t="e">
        <f>IF(Outline!$C$14&gt;0,Gradesheet!#REF!,Gradesheet!#REF!)</f>
        <v>#REF!</v>
      </c>
      <c r="H505" s="139" t="e">
        <f t="shared" si="8"/>
        <v>#REF!</v>
      </c>
    </row>
    <row r="506" spans="2:8" hidden="1" x14ac:dyDescent="0.25">
      <c r="B506" s="90" t="e">
        <f>Gradesheet!#REF!</f>
        <v>#REF!</v>
      </c>
      <c r="C506" s="91" t="e">
        <f>(Gradesheet!#REF!)</f>
        <v>#REF!</v>
      </c>
      <c r="D506" s="92" t="e">
        <f>IF(Outline!$C$14&gt;0,Gradesheet!#REF!,Gradesheet!#REF!)</f>
        <v>#REF!</v>
      </c>
      <c r="E506" s="138" t="e">
        <f>IF(Outline!$C$14&gt;0,Gradesheet!#REF!,Gradesheet!#REF!)</f>
        <v>#REF!</v>
      </c>
      <c r="F506" s="138" t="e">
        <f>IF(Outline!$C$14&gt;0,Gradesheet!#REF!,"NA")</f>
        <v>#REF!</v>
      </c>
      <c r="G506" s="138" t="e">
        <f>IF(Outline!$C$14&gt;0,Gradesheet!#REF!,Gradesheet!#REF!)</f>
        <v>#REF!</v>
      </c>
      <c r="H506" s="139" t="e">
        <f t="shared" si="8"/>
        <v>#REF!</v>
      </c>
    </row>
    <row r="507" spans="2:8" hidden="1" x14ac:dyDescent="0.25">
      <c r="B507" s="90" t="e">
        <f>Gradesheet!#REF!</f>
        <v>#REF!</v>
      </c>
      <c r="C507" s="91" t="e">
        <f>(Gradesheet!#REF!)</f>
        <v>#REF!</v>
      </c>
      <c r="D507" s="92" t="e">
        <f>IF(Outline!$C$14&gt;0,Gradesheet!#REF!,Gradesheet!#REF!)</f>
        <v>#REF!</v>
      </c>
      <c r="E507" s="138" t="e">
        <f>IF(Outline!$C$14&gt;0,Gradesheet!#REF!,Gradesheet!#REF!)</f>
        <v>#REF!</v>
      </c>
      <c r="F507" s="138" t="e">
        <f>IF(Outline!$C$14&gt;0,Gradesheet!#REF!,"NA")</f>
        <v>#REF!</v>
      </c>
      <c r="G507" s="138" t="e">
        <f>IF(Outline!$C$14&gt;0,Gradesheet!#REF!,Gradesheet!#REF!)</f>
        <v>#REF!</v>
      </c>
      <c r="H507" s="139" t="e">
        <f t="shared" si="8"/>
        <v>#REF!</v>
      </c>
    </row>
    <row r="508" spans="2:8" hidden="1" x14ac:dyDescent="0.25">
      <c r="B508" s="90" t="e">
        <f>Gradesheet!#REF!</f>
        <v>#REF!</v>
      </c>
      <c r="C508" s="91" t="e">
        <f>(Gradesheet!#REF!)</f>
        <v>#REF!</v>
      </c>
      <c r="D508" s="92" t="e">
        <f>IF(Outline!$C$14&gt;0,Gradesheet!#REF!,Gradesheet!#REF!)</f>
        <v>#REF!</v>
      </c>
      <c r="E508" s="138" t="e">
        <f>IF(Outline!$C$14&gt;0,Gradesheet!#REF!,Gradesheet!#REF!)</f>
        <v>#REF!</v>
      </c>
      <c r="F508" s="138" t="e">
        <f>IF(Outline!$C$14&gt;0,Gradesheet!#REF!,"NA")</f>
        <v>#REF!</v>
      </c>
      <c r="G508" s="138" t="e">
        <f>IF(Outline!$C$14&gt;0,Gradesheet!#REF!,Gradesheet!#REF!)</f>
        <v>#REF!</v>
      </c>
      <c r="H508" s="139" t="e">
        <f t="shared" si="8"/>
        <v>#REF!</v>
      </c>
    </row>
    <row r="509" spans="2:8" hidden="1" x14ac:dyDescent="0.25">
      <c r="B509" s="90" t="e">
        <f>Gradesheet!#REF!</f>
        <v>#REF!</v>
      </c>
      <c r="C509" s="91" t="e">
        <f>(Gradesheet!#REF!)</f>
        <v>#REF!</v>
      </c>
      <c r="D509" s="92" t="e">
        <f>IF(Outline!$C$14&gt;0,Gradesheet!#REF!,Gradesheet!#REF!)</f>
        <v>#REF!</v>
      </c>
      <c r="E509" s="138" t="e">
        <f>IF(Outline!$C$14&gt;0,Gradesheet!#REF!,Gradesheet!#REF!)</f>
        <v>#REF!</v>
      </c>
      <c r="F509" s="138" t="e">
        <f>IF(Outline!$C$14&gt;0,Gradesheet!#REF!,"NA")</f>
        <v>#REF!</v>
      </c>
      <c r="G509" s="138" t="e">
        <f>IF(Outline!$C$14&gt;0,Gradesheet!#REF!,Gradesheet!#REF!)</f>
        <v>#REF!</v>
      </c>
      <c r="H509" s="139" t="e">
        <f t="shared" si="8"/>
        <v>#REF!</v>
      </c>
    </row>
    <row r="510" spans="2:8" hidden="1" x14ac:dyDescent="0.25">
      <c r="B510" s="90" t="e">
        <f>Gradesheet!#REF!</f>
        <v>#REF!</v>
      </c>
      <c r="C510" s="91" t="e">
        <f>(Gradesheet!#REF!)</f>
        <v>#REF!</v>
      </c>
      <c r="D510" s="92" t="e">
        <f>IF(Outline!$C$14&gt;0,Gradesheet!#REF!,Gradesheet!#REF!)</f>
        <v>#REF!</v>
      </c>
      <c r="E510" s="138" t="e">
        <f>IF(Outline!$C$14&gt;0,Gradesheet!#REF!,Gradesheet!#REF!)</f>
        <v>#REF!</v>
      </c>
      <c r="F510" s="138" t="e">
        <f>IF(Outline!$C$14&gt;0,Gradesheet!#REF!,"NA")</f>
        <v>#REF!</v>
      </c>
      <c r="G510" s="138" t="e">
        <f>IF(Outline!$C$14&gt;0,Gradesheet!#REF!,Gradesheet!#REF!)</f>
        <v>#REF!</v>
      </c>
      <c r="H510" s="139" t="e">
        <f t="shared" si="8"/>
        <v>#REF!</v>
      </c>
    </row>
    <row r="511" spans="2:8" hidden="1" x14ac:dyDescent="0.25">
      <c r="B511" s="90" t="e">
        <f>Gradesheet!#REF!</f>
        <v>#REF!</v>
      </c>
      <c r="C511" s="91" t="e">
        <f>(Gradesheet!#REF!)</f>
        <v>#REF!</v>
      </c>
      <c r="D511" s="92" t="e">
        <f>IF(Outline!$C$14&gt;0,Gradesheet!#REF!,Gradesheet!#REF!)</f>
        <v>#REF!</v>
      </c>
      <c r="E511" s="138" t="e">
        <f>IF(Outline!$C$14&gt;0,Gradesheet!#REF!,Gradesheet!#REF!)</f>
        <v>#REF!</v>
      </c>
      <c r="F511" s="138" t="e">
        <f>IF(Outline!$C$14&gt;0,Gradesheet!#REF!,"NA")</f>
        <v>#REF!</v>
      </c>
      <c r="G511" s="138" t="e">
        <f>IF(Outline!$C$14&gt;0,Gradesheet!#REF!,Gradesheet!#REF!)</f>
        <v>#REF!</v>
      </c>
      <c r="H511" s="139" t="e">
        <f t="shared" si="8"/>
        <v>#REF!</v>
      </c>
    </row>
    <row r="512" spans="2:8" hidden="1" x14ac:dyDescent="0.25">
      <c r="B512" s="90" t="e">
        <f>Gradesheet!#REF!</f>
        <v>#REF!</v>
      </c>
      <c r="C512" s="91" t="e">
        <f>(Gradesheet!#REF!)</f>
        <v>#REF!</v>
      </c>
      <c r="D512" s="92" t="e">
        <f>IF(Outline!$C$14&gt;0,Gradesheet!#REF!,Gradesheet!#REF!)</f>
        <v>#REF!</v>
      </c>
      <c r="E512" s="138" t="e">
        <f>IF(Outline!$C$14&gt;0,Gradesheet!#REF!,Gradesheet!#REF!)</f>
        <v>#REF!</v>
      </c>
      <c r="F512" s="138" t="e">
        <f>IF(Outline!$C$14&gt;0,Gradesheet!#REF!,"NA")</f>
        <v>#REF!</v>
      </c>
      <c r="G512" s="138" t="e">
        <f>IF(Outline!$C$14&gt;0,Gradesheet!#REF!,Gradesheet!#REF!)</f>
        <v>#REF!</v>
      </c>
      <c r="H512" s="139" t="e">
        <f t="shared" si="8"/>
        <v>#REF!</v>
      </c>
    </row>
    <row r="513" spans="2:8" hidden="1" x14ac:dyDescent="0.25">
      <c r="B513" s="90" t="e">
        <f>Gradesheet!#REF!</f>
        <v>#REF!</v>
      </c>
      <c r="C513" s="91" t="e">
        <f>(Gradesheet!#REF!)</f>
        <v>#REF!</v>
      </c>
      <c r="D513" s="92" t="e">
        <f>IF(Outline!$C$14&gt;0,Gradesheet!#REF!,Gradesheet!#REF!)</f>
        <v>#REF!</v>
      </c>
      <c r="E513" s="138" t="e">
        <f>IF(Outline!$C$14&gt;0,Gradesheet!#REF!,Gradesheet!#REF!)</f>
        <v>#REF!</v>
      </c>
      <c r="F513" s="138" t="e">
        <f>IF(Outline!$C$14&gt;0,Gradesheet!#REF!,"NA")</f>
        <v>#REF!</v>
      </c>
      <c r="G513" s="138" t="e">
        <f>IF(Outline!$C$14&gt;0,Gradesheet!#REF!,Gradesheet!#REF!)</f>
        <v>#REF!</v>
      </c>
      <c r="H513" s="139" t="e">
        <f t="shared" si="8"/>
        <v>#REF!</v>
      </c>
    </row>
    <row r="514" spans="2:8" hidden="1" x14ac:dyDescent="0.25">
      <c r="B514" s="90" t="e">
        <f>Gradesheet!#REF!</f>
        <v>#REF!</v>
      </c>
      <c r="C514" s="91" t="e">
        <f>(Gradesheet!#REF!)</f>
        <v>#REF!</v>
      </c>
      <c r="D514" s="92" t="e">
        <f>IF(Outline!$C$14&gt;0,Gradesheet!#REF!,Gradesheet!#REF!)</f>
        <v>#REF!</v>
      </c>
      <c r="E514" s="138" t="e">
        <f>IF(Outline!$C$14&gt;0,Gradesheet!#REF!,Gradesheet!#REF!)</f>
        <v>#REF!</v>
      </c>
      <c r="F514" s="138" t="e">
        <f>IF(Outline!$C$14&gt;0,Gradesheet!#REF!,"NA")</f>
        <v>#REF!</v>
      </c>
      <c r="G514" s="138" t="e">
        <f>IF(Outline!$C$14&gt;0,Gradesheet!#REF!,Gradesheet!#REF!)</f>
        <v>#REF!</v>
      </c>
      <c r="H514" s="139" t="e">
        <f t="shared" si="8"/>
        <v>#REF!</v>
      </c>
    </row>
    <row r="515" spans="2:8" hidden="1" x14ac:dyDescent="0.25">
      <c r="B515" s="90" t="e">
        <f>Gradesheet!#REF!</f>
        <v>#REF!</v>
      </c>
      <c r="C515" s="91" t="e">
        <f>(Gradesheet!#REF!)</f>
        <v>#REF!</v>
      </c>
      <c r="D515" s="92" t="e">
        <f>IF(Outline!$C$14&gt;0,Gradesheet!#REF!,Gradesheet!#REF!)</f>
        <v>#REF!</v>
      </c>
      <c r="E515" s="138" t="e">
        <f>IF(Outline!$C$14&gt;0,Gradesheet!#REF!,Gradesheet!#REF!)</f>
        <v>#REF!</v>
      </c>
      <c r="F515" s="138" t="e">
        <f>IF(Outline!$C$14&gt;0,Gradesheet!#REF!,"NA")</f>
        <v>#REF!</v>
      </c>
      <c r="G515" s="138" t="e">
        <f>IF(Outline!$C$14&gt;0,Gradesheet!#REF!,Gradesheet!#REF!)</f>
        <v>#REF!</v>
      </c>
      <c r="H515" s="139" t="e">
        <f t="shared" si="8"/>
        <v>#REF!</v>
      </c>
    </row>
    <row r="516" spans="2:8" hidden="1" x14ac:dyDescent="0.25">
      <c r="B516" s="90" t="e">
        <f>Gradesheet!#REF!</f>
        <v>#REF!</v>
      </c>
      <c r="C516" s="91" t="e">
        <f>(Gradesheet!#REF!)</f>
        <v>#REF!</v>
      </c>
      <c r="D516" s="92" t="e">
        <f>IF(Outline!$C$14&gt;0,Gradesheet!#REF!,Gradesheet!#REF!)</f>
        <v>#REF!</v>
      </c>
      <c r="E516" s="138" t="e">
        <f>IF(Outline!$C$14&gt;0,Gradesheet!#REF!,Gradesheet!#REF!)</f>
        <v>#REF!</v>
      </c>
      <c r="F516" s="138" t="e">
        <f>IF(Outline!$C$14&gt;0,Gradesheet!#REF!,"NA")</f>
        <v>#REF!</v>
      </c>
      <c r="G516" s="138" t="e">
        <f>IF(Outline!$C$14&gt;0,Gradesheet!#REF!,Gradesheet!#REF!)</f>
        <v>#REF!</v>
      </c>
      <c r="H516" s="139" t="e">
        <f t="shared" si="8"/>
        <v>#REF!</v>
      </c>
    </row>
    <row r="517" spans="2:8" hidden="1" x14ac:dyDescent="0.25">
      <c r="B517" s="90" t="e">
        <f>Gradesheet!#REF!</f>
        <v>#REF!</v>
      </c>
      <c r="C517" s="91" t="e">
        <f>(Gradesheet!#REF!)</f>
        <v>#REF!</v>
      </c>
      <c r="D517" s="92" t="e">
        <f>IF(Outline!$C$14&gt;0,Gradesheet!#REF!,Gradesheet!#REF!)</f>
        <v>#REF!</v>
      </c>
      <c r="E517" s="138" t="e">
        <f>IF(Outline!$C$14&gt;0,Gradesheet!#REF!,Gradesheet!#REF!)</f>
        <v>#REF!</v>
      </c>
      <c r="F517" s="138" t="e">
        <f>IF(Outline!$C$14&gt;0,Gradesheet!#REF!,"NA")</f>
        <v>#REF!</v>
      </c>
      <c r="G517" s="138" t="e">
        <f>IF(Outline!$C$14&gt;0,Gradesheet!#REF!,Gradesheet!#REF!)</f>
        <v>#REF!</v>
      </c>
      <c r="H517" s="139" t="e">
        <f t="shared" si="8"/>
        <v>#REF!</v>
      </c>
    </row>
    <row r="518" spans="2:8" hidden="1" x14ac:dyDescent="0.25">
      <c r="B518" s="90" t="e">
        <f>Gradesheet!#REF!</f>
        <v>#REF!</v>
      </c>
      <c r="C518" s="91" t="e">
        <f>(Gradesheet!#REF!)</f>
        <v>#REF!</v>
      </c>
      <c r="D518" s="92" t="e">
        <f>IF(Outline!$C$14&gt;0,Gradesheet!#REF!,Gradesheet!#REF!)</f>
        <v>#REF!</v>
      </c>
      <c r="E518" s="138" t="e">
        <f>IF(Outline!$C$14&gt;0,Gradesheet!#REF!,Gradesheet!#REF!)</f>
        <v>#REF!</v>
      </c>
      <c r="F518" s="138" t="e">
        <f>IF(Outline!$C$14&gt;0,Gradesheet!#REF!,"NA")</f>
        <v>#REF!</v>
      </c>
      <c r="G518" s="138" t="e">
        <f>IF(Outline!$C$14&gt;0,Gradesheet!#REF!,Gradesheet!#REF!)</f>
        <v>#REF!</v>
      </c>
      <c r="H518" s="139" t="e">
        <f t="shared" si="8"/>
        <v>#REF!</v>
      </c>
    </row>
    <row r="519" spans="2:8" hidden="1" x14ac:dyDescent="0.25">
      <c r="B519" s="90" t="e">
        <f>Gradesheet!#REF!</f>
        <v>#REF!</v>
      </c>
      <c r="C519" s="91" t="e">
        <f>(Gradesheet!#REF!)</f>
        <v>#REF!</v>
      </c>
      <c r="D519" s="92" t="e">
        <f>IF(Outline!$C$14&gt;0,Gradesheet!#REF!,Gradesheet!#REF!)</f>
        <v>#REF!</v>
      </c>
      <c r="E519" s="138" t="e">
        <f>IF(Outline!$C$14&gt;0,Gradesheet!#REF!,Gradesheet!#REF!)</f>
        <v>#REF!</v>
      </c>
      <c r="F519" s="138" t="e">
        <f>IF(Outline!$C$14&gt;0,Gradesheet!#REF!,"NA")</f>
        <v>#REF!</v>
      </c>
      <c r="G519" s="138" t="e">
        <f>IF(Outline!$C$14&gt;0,Gradesheet!#REF!,Gradesheet!#REF!)</f>
        <v>#REF!</v>
      </c>
      <c r="H519" s="139" t="e">
        <f t="shared" ref="H519:H582" si="9">SUM(D519:G519)</f>
        <v>#REF!</v>
      </c>
    </row>
    <row r="520" spans="2:8" hidden="1" x14ac:dyDescent="0.25">
      <c r="B520" s="90" t="e">
        <f>Gradesheet!#REF!</f>
        <v>#REF!</v>
      </c>
      <c r="C520" s="91" t="e">
        <f>(Gradesheet!#REF!)</f>
        <v>#REF!</v>
      </c>
      <c r="D520" s="92" t="e">
        <f>IF(Outline!$C$14&gt;0,Gradesheet!#REF!,Gradesheet!#REF!)</f>
        <v>#REF!</v>
      </c>
      <c r="E520" s="138" t="e">
        <f>IF(Outline!$C$14&gt;0,Gradesheet!#REF!,Gradesheet!#REF!)</f>
        <v>#REF!</v>
      </c>
      <c r="F520" s="138" t="e">
        <f>IF(Outline!$C$14&gt;0,Gradesheet!#REF!,"NA")</f>
        <v>#REF!</v>
      </c>
      <c r="G520" s="138" t="e">
        <f>IF(Outline!$C$14&gt;0,Gradesheet!#REF!,Gradesheet!#REF!)</f>
        <v>#REF!</v>
      </c>
      <c r="H520" s="139" t="e">
        <f t="shared" si="9"/>
        <v>#REF!</v>
      </c>
    </row>
    <row r="521" spans="2:8" hidden="1" x14ac:dyDescent="0.25">
      <c r="B521" s="90" t="e">
        <f>Gradesheet!#REF!</f>
        <v>#REF!</v>
      </c>
      <c r="C521" s="91" t="e">
        <f>(Gradesheet!#REF!)</f>
        <v>#REF!</v>
      </c>
      <c r="D521" s="92" t="e">
        <f>IF(Outline!$C$14&gt;0,Gradesheet!#REF!,Gradesheet!#REF!)</f>
        <v>#REF!</v>
      </c>
      <c r="E521" s="138" t="e">
        <f>IF(Outline!$C$14&gt;0,Gradesheet!#REF!,Gradesheet!#REF!)</f>
        <v>#REF!</v>
      </c>
      <c r="F521" s="138" t="e">
        <f>IF(Outline!$C$14&gt;0,Gradesheet!#REF!,"NA")</f>
        <v>#REF!</v>
      </c>
      <c r="G521" s="138" t="e">
        <f>IF(Outline!$C$14&gt;0,Gradesheet!#REF!,Gradesheet!#REF!)</f>
        <v>#REF!</v>
      </c>
      <c r="H521" s="139" t="e">
        <f t="shared" si="9"/>
        <v>#REF!</v>
      </c>
    </row>
    <row r="522" spans="2:8" hidden="1" x14ac:dyDescent="0.25">
      <c r="B522" s="90" t="e">
        <f>Gradesheet!#REF!</f>
        <v>#REF!</v>
      </c>
      <c r="C522" s="91" t="e">
        <f>(Gradesheet!#REF!)</f>
        <v>#REF!</v>
      </c>
      <c r="D522" s="92" t="e">
        <f>IF(Outline!$C$14&gt;0,Gradesheet!#REF!,Gradesheet!#REF!)</f>
        <v>#REF!</v>
      </c>
      <c r="E522" s="138" t="e">
        <f>IF(Outline!$C$14&gt;0,Gradesheet!#REF!,Gradesheet!#REF!)</f>
        <v>#REF!</v>
      </c>
      <c r="F522" s="138" t="e">
        <f>IF(Outline!$C$14&gt;0,Gradesheet!#REF!,"NA")</f>
        <v>#REF!</v>
      </c>
      <c r="G522" s="138" t="e">
        <f>IF(Outline!$C$14&gt;0,Gradesheet!#REF!,Gradesheet!#REF!)</f>
        <v>#REF!</v>
      </c>
      <c r="H522" s="139" t="e">
        <f t="shared" si="9"/>
        <v>#REF!</v>
      </c>
    </row>
    <row r="523" spans="2:8" hidden="1" x14ac:dyDescent="0.25">
      <c r="B523" s="90" t="e">
        <f>Gradesheet!#REF!</f>
        <v>#REF!</v>
      </c>
      <c r="C523" s="91" t="e">
        <f>(Gradesheet!#REF!)</f>
        <v>#REF!</v>
      </c>
      <c r="D523" s="92" t="e">
        <f>IF(Outline!$C$14&gt;0,Gradesheet!#REF!,Gradesheet!#REF!)</f>
        <v>#REF!</v>
      </c>
      <c r="E523" s="138" t="e">
        <f>IF(Outline!$C$14&gt;0,Gradesheet!#REF!,Gradesheet!#REF!)</f>
        <v>#REF!</v>
      </c>
      <c r="F523" s="138" t="e">
        <f>IF(Outline!$C$14&gt;0,Gradesheet!#REF!,"NA")</f>
        <v>#REF!</v>
      </c>
      <c r="G523" s="138" t="e">
        <f>IF(Outline!$C$14&gt;0,Gradesheet!#REF!,Gradesheet!#REF!)</f>
        <v>#REF!</v>
      </c>
      <c r="H523" s="139" t="e">
        <f t="shared" si="9"/>
        <v>#REF!</v>
      </c>
    </row>
    <row r="524" spans="2:8" hidden="1" x14ac:dyDescent="0.25">
      <c r="B524" s="90" t="e">
        <f>Gradesheet!#REF!</f>
        <v>#REF!</v>
      </c>
      <c r="C524" s="91" t="e">
        <f>(Gradesheet!#REF!)</f>
        <v>#REF!</v>
      </c>
      <c r="D524" s="92" t="e">
        <f>IF(Outline!$C$14&gt;0,Gradesheet!#REF!,Gradesheet!#REF!)</f>
        <v>#REF!</v>
      </c>
      <c r="E524" s="138" t="e">
        <f>IF(Outline!$C$14&gt;0,Gradesheet!#REF!,Gradesheet!#REF!)</f>
        <v>#REF!</v>
      </c>
      <c r="F524" s="138" t="e">
        <f>IF(Outline!$C$14&gt;0,Gradesheet!#REF!,"NA")</f>
        <v>#REF!</v>
      </c>
      <c r="G524" s="138" t="e">
        <f>IF(Outline!$C$14&gt;0,Gradesheet!#REF!,Gradesheet!#REF!)</f>
        <v>#REF!</v>
      </c>
      <c r="H524" s="139" t="e">
        <f t="shared" si="9"/>
        <v>#REF!</v>
      </c>
    </row>
    <row r="525" spans="2:8" hidden="1" x14ac:dyDescent="0.25">
      <c r="B525" s="90" t="e">
        <f>Gradesheet!#REF!</f>
        <v>#REF!</v>
      </c>
      <c r="C525" s="91" t="e">
        <f>(Gradesheet!#REF!)</f>
        <v>#REF!</v>
      </c>
      <c r="D525" s="92" t="e">
        <f>IF(Outline!$C$14&gt;0,Gradesheet!#REF!,Gradesheet!#REF!)</f>
        <v>#REF!</v>
      </c>
      <c r="E525" s="138" t="e">
        <f>IF(Outline!$C$14&gt;0,Gradesheet!#REF!,Gradesheet!#REF!)</f>
        <v>#REF!</v>
      </c>
      <c r="F525" s="138" t="e">
        <f>IF(Outline!$C$14&gt;0,Gradesheet!#REF!,"NA")</f>
        <v>#REF!</v>
      </c>
      <c r="G525" s="138" t="e">
        <f>IF(Outline!$C$14&gt;0,Gradesheet!#REF!,Gradesheet!#REF!)</f>
        <v>#REF!</v>
      </c>
      <c r="H525" s="139" t="e">
        <f t="shared" si="9"/>
        <v>#REF!</v>
      </c>
    </row>
    <row r="526" spans="2:8" hidden="1" x14ac:dyDescent="0.25">
      <c r="B526" s="90" t="e">
        <f>Gradesheet!#REF!</f>
        <v>#REF!</v>
      </c>
      <c r="C526" s="91" t="e">
        <f>(Gradesheet!#REF!)</f>
        <v>#REF!</v>
      </c>
      <c r="D526" s="92" t="e">
        <f>IF(Outline!$C$14&gt;0,Gradesheet!#REF!,Gradesheet!#REF!)</f>
        <v>#REF!</v>
      </c>
      <c r="E526" s="138" t="e">
        <f>IF(Outline!$C$14&gt;0,Gradesheet!#REF!,Gradesheet!#REF!)</f>
        <v>#REF!</v>
      </c>
      <c r="F526" s="138" t="e">
        <f>IF(Outline!$C$14&gt;0,Gradesheet!#REF!,"NA")</f>
        <v>#REF!</v>
      </c>
      <c r="G526" s="138" t="e">
        <f>IF(Outline!$C$14&gt;0,Gradesheet!#REF!,Gradesheet!#REF!)</f>
        <v>#REF!</v>
      </c>
      <c r="H526" s="139" t="e">
        <f t="shared" si="9"/>
        <v>#REF!</v>
      </c>
    </row>
    <row r="527" spans="2:8" hidden="1" x14ac:dyDescent="0.25">
      <c r="B527" s="90" t="e">
        <f>Gradesheet!#REF!</f>
        <v>#REF!</v>
      </c>
      <c r="C527" s="91" t="e">
        <f>(Gradesheet!#REF!)</f>
        <v>#REF!</v>
      </c>
      <c r="D527" s="92" t="e">
        <f>IF(Outline!$C$14&gt;0,Gradesheet!#REF!,Gradesheet!#REF!)</f>
        <v>#REF!</v>
      </c>
      <c r="E527" s="138" t="e">
        <f>IF(Outline!$C$14&gt;0,Gradesheet!#REF!,Gradesheet!#REF!)</f>
        <v>#REF!</v>
      </c>
      <c r="F527" s="138" t="e">
        <f>IF(Outline!$C$14&gt;0,Gradesheet!#REF!,"NA")</f>
        <v>#REF!</v>
      </c>
      <c r="G527" s="138" t="e">
        <f>IF(Outline!$C$14&gt;0,Gradesheet!#REF!,Gradesheet!#REF!)</f>
        <v>#REF!</v>
      </c>
      <c r="H527" s="139" t="e">
        <f t="shared" si="9"/>
        <v>#REF!</v>
      </c>
    </row>
    <row r="528" spans="2:8" hidden="1" x14ac:dyDescent="0.25">
      <c r="B528" s="90" t="e">
        <f>Gradesheet!#REF!</f>
        <v>#REF!</v>
      </c>
      <c r="C528" s="91" t="e">
        <f>(Gradesheet!#REF!)</f>
        <v>#REF!</v>
      </c>
      <c r="D528" s="92" t="e">
        <f>IF(Outline!$C$14&gt;0,Gradesheet!#REF!,Gradesheet!#REF!)</f>
        <v>#REF!</v>
      </c>
      <c r="E528" s="138" t="e">
        <f>IF(Outline!$C$14&gt;0,Gradesheet!#REF!,Gradesheet!#REF!)</f>
        <v>#REF!</v>
      </c>
      <c r="F528" s="138" t="e">
        <f>IF(Outline!$C$14&gt;0,Gradesheet!#REF!,"NA")</f>
        <v>#REF!</v>
      </c>
      <c r="G528" s="138" t="e">
        <f>IF(Outline!$C$14&gt;0,Gradesheet!#REF!,Gradesheet!#REF!)</f>
        <v>#REF!</v>
      </c>
      <c r="H528" s="139" t="e">
        <f t="shared" si="9"/>
        <v>#REF!</v>
      </c>
    </row>
    <row r="529" spans="2:8" hidden="1" x14ac:dyDescent="0.25">
      <c r="B529" s="90" t="e">
        <f>Gradesheet!#REF!</f>
        <v>#REF!</v>
      </c>
      <c r="C529" s="91" t="e">
        <f>(Gradesheet!#REF!)</f>
        <v>#REF!</v>
      </c>
      <c r="D529" s="92" t="e">
        <f>IF(Outline!$C$14&gt;0,Gradesheet!#REF!,Gradesheet!#REF!)</f>
        <v>#REF!</v>
      </c>
      <c r="E529" s="138" t="e">
        <f>IF(Outline!$C$14&gt;0,Gradesheet!#REF!,Gradesheet!#REF!)</f>
        <v>#REF!</v>
      </c>
      <c r="F529" s="138" t="e">
        <f>IF(Outline!$C$14&gt;0,Gradesheet!#REF!,"NA")</f>
        <v>#REF!</v>
      </c>
      <c r="G529" s="138" t="e">
        <f>IF(Outline!$C$14&gt;0,Gradesheet!#REF!,Gradesheet!#REF!)</f>
        <v>#REF!</v>
      </c>
      <c r="H529" s="139" t="e">
        <f t="shared" si="9"/>
        <v>#REF!</v>
      </c>
    </row>
    <row r="530" spans="2:8" hidden="1" x14ac:dyDescent="0.25">
      <c r="B530" s="90" t="e">
        <f>Gradesheet!#REF!</f>
        <v>#REF!</v>
      </c>
      <c r="C530" s="91" t="e">
        <f>(Gradesheet!#REF!)</f>
        <v>#REF!</v>
      </c>
      <c r="D530" s="92" t="e">
        <f>IF(Outline!$C$14&gt;0,Gradesheet!#REF!,Gradesheet!#REF!)</f>
        <v>#REF!</v>
      </c>
      <c r="E530" s="138" t="e">
        <f>IF(Outline!$C$14&gt;0,Gradesheet!#REF!,Gradesheet!#REF!)</f>
        <v>#REF!</v>
      </c>
      <c r="F530" s="138" t="e">
        <f>IF(Outline!$C$14&gt;0,Gradesheet!#REF!,"NA")</f>
        <v>#REF!</v>
      </c>
      <c r="G530" s="138" t="e">
        <f>IF(Outline!$C$14&gt;0,Gradesheet!#REF!,Gradesheet!#REF!)</f>
        <v>#REF!</v>
      </c>
      <c r="H530" s="139" t="e">
        <f t="shared" si="9"/>
        <v>#REF!</v>
      </c>
    </row>
    <row r="531" spans="2:8" hidden="1" x14ac:dyDescent="0.25">
      <c r="B531" s="90" t="e">
        <f>Gradesheet!#REF!</f>
        <v>#REF!</v>
      </c>
      <c r="C531" s="91" t="e">
        <f>(Gradesheet!#REF!)</f>
        <v>#REF!</v>
      </c>
      <c r="D531" s="92" t="e">
        <f>IF(Outline!$C$14&gt;0,Gradesheet!#REF!,Gradesheet!#REF!)</f>
        <v>#REF!</v>
      </c>
      <c r="E531" s="138" t="e">
        <f>IF(Outline!$C$14&gt;0,Gradesheet!#REF!,Gradesheet!#REF!)</f>
        <v>#REF!</v>
      </c>
      <c r="F531" s="138" t="e">
        <f>IF(Outline!$C$14&gt;0,Gradesheet!#REF!,"NA")</f>
        <v>#REF!</v>
      </c>
      <c r="G531" s="138" t="e">
        <f>IF(Outline!$C$14&gt;0,Gradesheet!#REF!,Gradesheet!#REF!)</f>
        <v>#REF!</v>
      </c>
      <c r="H531" s="139" t="e">
        <f t="shared" si="9"/>
        <v>#REF!</v>
      </c>
    </row>
    <row r="532" spans="2:8" hidden="1" x14ac:dyDescent="0.25">
      <c r="B532" s="90" t="e">
        <f>Gradesheet!#REF!</f>
        <v>#REF!</v>
      </c>
      <c r="C532" s="91" t="e">
        <f>(Gradesheet!#REF!)</f>
        <v>#REF!</v>
      </c>
      <c r="D532" s="92" t="e">
        <f>IF(Outline!$C$14&gt;0,Gradesheet!#REF!,Gradesheet!#REF!)</f>
        <v>#REF!</v>
      </c>
      <c r="E532" s="138" t="e">
        <f>IF(Outline!$C$14&gt;0,Gradesheet!#REF!,Gradesheet!#REF!)</f>
        <v>#REF!</v>
      </c>
      <c r="F532" s="138" t="e">
        <f>IF(Outline!$C$14&gt;0,Gradesheet!#REF!,"NA")</f>
        <v>#REF!</v>
      </c>
      <c r="G532" s="138" t="e">
        <f>IF(Outline!$C$14&gt;0,Gradesheet!#REF!,Gradesheet!#REF!)</f>
        <v>#REF!</v>
      </c>
      <c r="H532" s="139" t="e">
        <f t="shared" si="9"/>
        <v>#REF!</v>
      </c>
    </row>
    <row r="533" spans="2:8" hidden="1" x14ac:dyDescent="0.25">
      <c r="B533" s="90" t="e">
        <f>Gradesheet!#REF!</f>
        <v>#REF!</v>
      </c>
      <c r="C533" s="91" t="e">
        <f>(Gradesheet!#REF!)</f>
        <v>#REF!</v>
      </c>
      <c r="D533" s="92" t="e">
        <f>IF(Outline!$C$14&gt;0,Gradesheet!#REF!,Gradesheet!#REF!)</f>
        <v>#REF!</v>
      </c>
      <c r="E533" s="138" t="e">
        <f>IF(Outline!$C$14&gt;0,Gradesheet!#REF!,Gradesheet!#REF!)</f>
        <v>#REF!</v>
      </c>
      <c r="F533" s="138" t="e">
        <f>IF(Outline!$C$14&gt;0,Gradesheet!#REF!,"NA")</f>
        <v>#REF!</v>
      </c>
      <c r="G533" s="138" t="e">
        <f>IF(Outline!$C$14&gt;0,Gradesheet!#REF!,Gradesheet!#REF!)</f>
        <v>#REF!</v>
      </c>
      <c r="H533" s="139" t="e">
        <f t="shared" si="9"/>
        <v>#REF!</v>
      </c>
    </row>
    <row r="534" spans="2:8" hidden="1" x14ac:dyDescent="0.25">
      <c r="B534" s="90" t="e">
        <f>Gradesheet!#REF!</f>
        <v>#REF!</v>
      </c>
      <c r="C534" s="91" t="e">
        <f>(Gradesheet!#REF!)</f>
        <v>#REF!</v>
      </c>
      <c r="D534" s="92" t="e">
        <f>IF(Outline!$C$14&gt;0,Gradesheet!#REF!,Gradesheet!#REF!)</f>
        <v>#REF!</v>
      </c>
      <c r="E534" s="138" t="e">
        <f>IF(Outline!$C$14&gt;0,Gradesheet!#REF!,Gradesheet!#REF!)</f>
        <v>#REF!</v>
      </c>
      <c r="F534" s="138" t="e">
        <f>IF(Outline!$C$14&gt;0,Gradesheet!#REF!,"NA")</f>
        <v>#REF!</v>
      </c>
      <c r="G534" s="138" t="e">
        <f>IF(Outline!$C$14&gt;0,Gradesheet!#REF!,Gradesheet!#REF!)</f>
        <v>#REF!</v>
      </c>
      <c r="H534" s="139" t="e">
        <f t="shared" si="9"/>
        <v>#REF!</v>
      </c>
    </row>
    <row r="535" spans="2:8" hidden="1" x14ac:dyDescent="0.25">
      <c r="B535" s="90" t="e">
        <f>Gradesheet!#REF!</f>
        <v>#REF!</v>
      </c>
      <c r="C535" s="91" t="e">
        <f>(Gradesheet!#REF!)</f>
        <v>#REF!</v>
      </c>
      <c r="D535" s="92" t="e">
        <f>IF(Outline!$C$14&gt;0,Gradesheet!#REF!,Gradesheet!#REF!)</f>
        <v>#REF!</v>
      </c>
      <c r="E535" s="138" t="e">
        <f>IF(Outline!$C$14&gt;0,Gradesheet!#REF!,Gradesheet!#REF!)</f>
        <v>#REF!</v>
      </c>
      <c r="F535" s="138" t="e">
        <f>IF(Outline!$C$14&gt;0,Gradesheet!#REF!,"NA")</f>
        <v>#REF!</v>
      </c>
      <c r="G535" s="138" t="e">
        <f>IF(Outline!$C$14&gt;0,Gradesheet!#REF!,Gradesheet!#REF!)</f>
        <v>#REF!</v>
      </c>
      <c r="H535" s="139" t="e">
        <f t="shared" si="9"/>
        <v>#REF!</v>
      </c>
    </row>
    <row r="536" spans="2:8" hidden="1" x14ac:dyDescent="0.25">
      <c r="B536" s="90" t="e">
        <f>Gradesheet!#REF!</f>
        <v>#REF!</v>
      </c>
      <c r="C536" s="91" t="e">
        <f>(Gradesheet!#REF!)</f>
        <v>#REF!</v>
      </c>
      <c r="D536" s="92" t="e">
        <f>IF(Outline!$C$14&gt;0,Gradesheet!#REF!,Gradesheet!#REF!)</f>
        <v>#REF!</v>
      </c>
      <c r="E536" s="138" t="e">
        <f>IF(Outline!$C$14&gt;0,Gradesheet!#REF!,Gradesheet!#REF!)</f>
        <v>#REF!</v>
      </c>
      <c r="F536" s="138" t="e">
        <f>IF(Outline!$C$14&gt;0,Gradesheet!#REF!,"NA")</f>
        <v>#REF!</v>
      </c>
      <c r="G536" s="138" t="e">
        <f>IF(Outline!$C$14&gt;0,Gradesheet!#REF!,Gradesheet!#REF!)</f>
        <v>#REF!</v>
      </c>
      <c r="H536" s="139" t="e">
        <f t="shared" si="9"/>
        <v>#REF!</v>
      </c>
    </row>
    <row r="537" spans="2:8" hidden="1" x14ac:dyDescent="0.25">
      <c r="B537" s="90" t="e">
        <f>Gradesheet!#REF!</f>
        <v>#REF!</v>
      </c>
      <c r="C537" s="91" t="e">
        <f>(Gradesheet!#REF!)</f>
        <v>#REF!</v>
      </c>
      <c r="D537" s="92" t="e">
        <f>IF(Outline!$C$14&gt;0,Gradesheet!#REF!,Gradesheet!#REF!)</f>
        <v>#REF!</v>
      </c>
      <c r="E537" s="138" t="e">
        <f>IF(Outline!$C$14&gt;0,Gradesheet!#REF!,Gradesheet!#REF!)</f>
        <v>#REF!</v>
      </c>
      <c r="F537" s="138" t="e">
        <f>IF(Outline!$C$14&gt;0,Gradesheet!#REF!,"NA")</f>
        <v>#REF!</v>
      </c>
      <c r="G537" s="138" t="e">
        <f>IF(Outline!$C$14&gt;0,Gradesheet!#REF!,Gradesheet!#REF!)</f>
        <v>#REF!</v>
      </c>
      <c r="H537" s="139" t="e">
        <f t="shared" si="9"/>
        <v>#REF!</v>
      </c>
    </row>
    <row r="538" spans="2:8" hidden="1" x14ac:dyDescent="0.25">
      <c r="B538" s="90" t="e">
        <f>Gradesheet!#REF!</f>
        <v>#REF!</v>
      </c>
      <c r="C538" s="91" t="e">
        <f>(Gradesheet!#REF!)</f>
        <v>#REF!</v>
      </c>
      <c r="D538" s="92" t="e">
        <f>IF(Outline!$C$14&gt;0,Gradesheet!#REF!,Gradesheet!#REF!)</f>
        <v>#REF!</v>
      </c>
      <c r="E538" s="138" t="e">
        <f>IF(Outline!$C$14&gt;0,Gradesheet!#REF!,Gradesheet!#REF!)</f>
        <v>#REF!</v>
      </c>
      <c r="F538" s="138" t="e">
        <f>IF(Outline!$C$14&gt;0,Gradesheet!#REF!,"NA")</f>
        <v>#REF!</v>
      </c>
      <c r="G538" s="138" t="e">
        <f>IF(Outline!$C$14&gt;0,Gradesheet!#REF!,Gradesheet!#REF!)</f>
        <v>#REF!</v>
      </c>
      <c r="H538" s="139" t="e">
        <f t="shared" si="9"/>
        <v>#REF!</v>
      </c>
    </row>
    <row r="539" spans="2:8" hidden="1" x14ac:dyDescent="0.25">
      <c r="B539" s="90" t="e">
        <f>Gradesheet!#REF!</f>
        <v>#REF!</v>
      </c>
      <c r="C539" s="91" t="e">
        <f>(Gradesheet!#REF!)</f>
        <v>#REF!</v>
      </c>
      <c r="D539" s="92" t="e">
        <f>IF(Outline!$C$14&gt;0,Gradesheet!#REF!,Gradesheet!#REF!)</f>
        <v>#REF!</v>
      </c>
      <c r="E539" s="138" t="e">
        <f>IF(Outline!$C$14&gt;0,Gradesheet!#REF!,Gradesheet!#REF!)</f>
        <v>#REF!</v>
      </c>
      <c r="F539" s="138" t="e">
        <f>IF(Outline!$C$14&gt;0,Gradesheet!#REF!,"NA")</f>
        <v>#REF!</v>
      </c>
      <c r="G539" s="138" t="e">
        <f>IF(Outline!$C$14&gt;0,Gradesheet!#REF!,Gradesheet!#REF!)</f>
        <v>#REF!</v>
      </c>
      <c r="H539" s="139" t="e">
        <f t="shared" si="9"/>
        <v>#REF!</v>
      </c>
    </row>
    <row r="540" spans="2:8" hidden="1" x14ac:dyDescent="0.25">
      <c r="B540" s="90" t="e">
        <f>Gradesheet!#REF!</f>
        <v>#REF!</v>
      </c>
      <c r="C540" s="91" t="e">
        <f>(Gradesheet!#REF!)</f>
        <v>#REF!</v>
      </c>
      <c r="D540" s="92" t="e">
        <f>IF(Outline!$C$14&gt;0,Gradesheet!#REF!,Gradesheet!#REF!)</f>
        <v>#REF!</v>
      </c>
      <c r="E540" s="138" t="e">
        <f>IF(Outline!$C$14&gt;0,Gradesheet!#REF!,Gradesheet!#REF!)</f>
        <v>#REF!</v>
      </c>
      <c r="F540" s="138" t="e">
        <f>IF(Outline!$C$14&gt;0,Gradesheet!#REF!,"NA")</f>
        <v>#REF!</v>
      </c>
      <c r="G540" s="138" t="e">
        <f>IF(Outline!$C$14&gt;0,Gradesheet!#REF!,Gradesheet!#REF!)</f>
        <v>#REF!</v>
      </c>
      <c r="H540" s="139" t="e">
        <f t="shared" si="9"/>
        <v>#REF!</v>
      </c>
    </row>
    <row r="541" spans="2:8" hidden="1" x14ac:dyDescent="0.25">
      <c r="B541" s="90" t="e">
        <f>Gradesheet!#REF!</f>
        <v>#REF!</v>
      </c>
      <c r="C541" s="91" t="e">
        <f>(Gradesheet!#REF!)</f>
        <v>#REF!</v>
      </c>
      <c r="D541" s="92" t="e">
        <f>IF(Outline!$C$14&gt;0,Gradesheet!#REF!,Gradesheet!#REF!)</f>
        <v>#REF!</v>
      </c>
      <c r="E541" s="138" t="e">
        <f>IF(Outline!$C$14&gt;0,Gradesheet!#REF!,Gradesheet!#REF!)</f>
        <v>#REF!</v>
      </c>
      <c r="F541" s="138" t="e">
        <f>IF(Outline!$C$14&gt;0,Gradesheet!#REF!,"NA")</f>
        <v>#REF!</v>
      </c>
      <c r="G541" s="138" t="e">
        <f>IF(Outline!$C$14&gt;0,Gradesheet!#REF!,Gradesheet!#REF!)</f>
        <v>#REF!</v>
      </c>
      <c r="H541" s="139" t="e">
        <f t="shared" si="9"/>
        <v>#REF!</v>
      </c>
    </row>
    <row r="542" spans="2:8" hidden="1" x14ac:dyDescent="0.25">
      <c r="B542" s="90" t="e">
        <f>Gradesheet!#REF!</f>
        <v>#REF!</v>
      </c>
      <c r="C542" s="91" t="e">
        <f>(Gradesheet!#REF!)</f>
        <v>#REF!</v>
      </c>
      <c r="D542" s="92" t="e">
        <f>IF(Outline!$C$14&gt;0,Gradesheet!#REF!,Gradesheet!#REF!)</f>
        <v>#REF!</v>
      </c>
      <c r="E542" s="138" t="e">
        <f>IF(Outline!$C$14&gt;0,Gradesheet!#REF!,Gradesheet!#REF!)</f>
        <v>#REF!</v>
      </c>
      <c r="F542" s="138" t="e">
        <f>IF(Outline!$C$14&gt;0,Gradesheet!#REF!,"NA")</f>
        <v>#REF!</v>
      </c>
      <c r="G542" s="138" t="e">
        <f>IF(Outline!$C$14&gt;0,Gradesheet!#REF!,Gradesheet!#REF!)</f>
        <v>#REF!</v>
      </c>
      <c r="H542" s="139" t="e">
        <f t="shared" si="9"/>
        <v>#REF!</v>
      </c>
    </row>
    <row r="543" spans="2:8" hidden="1" x14ac:dyDescent="0.25">
      <c r="B543" s="90" t="e">
        <f>Gradesheet!#REF!</f>
        <v>#REF!</v>
      </c>
      <c r="C543" s="91" t="e">
        <f>(Gradesheet!#REF!)</f>
        <v>#REF!</v>
      </c>
      <c r="D543" s="92" t="e">
        <f>IF(Outline!$C$14&gt;0,Gradesheet!#REF!,Gradesheet!#REF!)</f>
        <v>#REF!</v>
      </c>
      <c r="E543" s="138" t="e">
        <f>IF(Outline!$C$14&gt;0,Gradesheet!#REF!,Gradesheet!#REF!)</f>
        <v>#REF!</v>
      </c>
      <c r="F543" s="138" t="e">
        <f>IF(Outline!$C$14&gt;0,Gradesheet!#REF!,"NA")</f>
        <v>#REF!</v>
      </c>
      <c r="G543" s="138" t="e">
        <f>IF(Outline!$C$14&gt;0,Gradesheet!#REF!,Gradesheet!#REF!)</f>
        <v>#REF!</v>
      </c>
      <c r="H543" s="139" t="e">
        <f t="shared" si="9"/>
        <v>#REF!</v>
      </c>
    </row>
    <row r="544" spans="2:8" hidden="1" x14ac:dyDescent="0.25">
      <c r="B544" s="90" t="e">
        <f>Gradesheet!#REF!</f>
        <v>#REF!</v>
      </c>
      <c r="C544" s="91" t="e">
        <f>(Gradesheet!#REF!)</f>
        <v>#REF!</v>
      </c>
      <c r="D544" s="92" t="e">
        <f>IF(Outline!$C$14&gt;0,Gradesheet!#REF!,Gradesheet!#REF!)</f>
        <v>#REF!</v>
      </c>
      <c r="E544" s="138" t="e">
        <f>IF(Outline!$C$14&gt;0,Gradesheet!#REF!,Gradesheet!#REF!)</f>
        <v>#REF!</v>
      </c>
      <c r="F544" s="138" t="e">
        <f>IF(Outline!$C$14&gt;0,Gradesheet!#REF!,"NA")</f>
        <v>#REF!</v>
      </c>
      <c r="G544" s="138" t="e">
        <f>IF(Outline!$C$14&gt;0,Gradesheet!#REF!,Gradesheet!#REF!)</f>
        <v>#REF!</v>
      </c>
      <c r="H544" s="139" t="e">
        <f t="shared" si="9"/>
        <v>#REF!</v>
      </c>
    </row>
    <row r="545" spans="2:8" hidden="1" x14ac:dyDescent="0.25">
      <c r="B545" s="90" t="e">
        <f>Gradesheet!#REF!</f>
        <v>#REF!</v>
      </c>
      <c r="C545" s="91" t="e">
        <f>(Gradesheet!#REF!)</f>
        <v>#REF!</v>
      </c>
      <c r="D545" s="92" t="e">
        <f>IF(Outline!$C$14&gt;0,Gradesheet!#REF!,Gradesheet!#REF!)</f>
        <v>#REF!</v>
      </c>
      <c r="E545" s="138" t="e">
        <f>IF(Outline!$C$14&gt;0,Gradesheet!#REF!,Gradesheet!#REF!)</f>
        <v>#REF!</v>
      </c>
      <c r="F545" s="138" t="e">
        <f>IF(Outline!$C$14&gt;0,Gradesheet!#REF!,"NA")</f>
        <v>#REF!</v>
      </c>
      <c r="G545" s="138" t="e">
        <f>IF(Outline!$C$14&gt;0,Gradesheet!#REF!,Gradesheet!#REF!)</f>
        <v>#REF!</v>
      </c>
      <c r="H545" s="139" t="e">
        <f t="shared" si="9"/>
        <v>#REF!</v>
      </c>
    </row>
    <row r="546" spans="2:8" hidden="1" x14ac:dyDescent="0.25">
      <c r="B546" s="90" t="e">
        <f>Gradesheet!#REF!</f>
        <v>#REF!</v>
      </c>
      <c r="C546" s="91" t="e">
        <f>(Gradesheet!#REF!)</f>
        <v>#REF!</v>
      </c>
      <c r="D546" s="92" t="e">
        <f>IF(Outline!$C$14&gt;0,Gradesheet!#REF!,Gradesheet!#REF!)</f>
        <v>#REF!</v>
      </c>
      <c r="E546" s="138" t="e">
        <f>IF(Outline!$C$14&gt;0,Gradesheet!#REF!,Gradesheet!#REF!)</f>
        <v>#REF!</v>
      </c>
      <c r="F546" s="138" t="e">
        <f>IF(Outline!$C$14&gt;0,Gradesheet!#REF!,"NA")</f>
        <v>#REF!</v>
      </c>
      <c r="G546" s="138" t="e">
        <f>IF(Outline!$C$14&gt;0,Gradesheet!#REF!,Gradesheet!#REF!)</f>
        <v>#REF!</v>
      </c>
      <c r="H546" s="139" t="e">
        <f t="shared" si="9"/>
        <v>#REF!</v>
      </c>
    </row>
    <row r="547" spans="2:8" hidden="1" x14ac:dyDescent="0.25">
      <c r="B547" s="90" t="e">
        <f>Gradesheet!#REF!</f>
        <v>#REF!</v>
      </c>
      <c r="C547" s="91" t="e">
        <f>(Gradesheet!#REF!)</f>
        <v>#REF!</v>
      </c>
      <c r="D547" s="92" t="e">
        <f>IF(Outline!$C$14&gt;0,Gradesheet!#REF!,Gradesheet!#REF!)</f>
        <v>#REF!</v>
      </c>
      <c r="E547" s="138" t="e">
        <f>IF(Outline!$C$14&gt;0,Gradesheet!#REF!,Gradesheet!#REF!)</f>
        <v>#REF!</v>
      </c>
      <c r="F547" s="138" t="e">
        <f>IF(Outline!$C$14&gt;0,Gradesheet!#REF!,"NA")</f>
        <v>#REF!</v>
      </c>
      <c r="G547" s="138" t="e">
        <f>IF(Outline!$C$14&gt;0,Gradesheet!#REF!,Gradesheet!#REF!)</f>
        <v>#REF!</v>
      </c>
      <c r="H547" s="139" t="e">
        <f t="shared" si="9"/>
        <v>#REF!</v>
      </c>
    </row>
    <row r="548" spans="2:8" hidden="1" x14ac:dyDescent="0.25">
      <c r="B548" s="90" t="e">
        <f>Gradesheet!#REF!</f>
        <v>#REF!</v>
      </c>
      <c r="C548" s="91" t="e">
        <f>(Gradesheet!#REF!)</f>
        <v>#REF!</v>
      </c>
      <c r="D548" s="92" t="e">
        <f>IF(Outline!$C$14&gt;0,Gradesheet!#REF!,Gradesheet!#REF!)</f>
        <v>#REF!</v>
      </c>
      <c r="E548" s="138" t="e">
        <f>IF(Outline!$C$14&gt;0,Gradesheet!#REF!,Gradesheet!#REF!)</f>
        <v>#REF!</v>
      </c>
      <c r="F548" s="138" t="e">
        <f>IF(Outline!$C$14&gt;0,Gradesheet!#REF!,"NA")</f>
        <v>#REF!</v>
      </c>
      <c r="G548" s="138" t="e">
        <f>IF(Outline!$C$14&gt;0,Gradesheet!#REF!,Gradesheet!#REF!)</f>
        <v>#REF!</v>
      </c>
      <c r="H548" s="139" t="e">
        <f t="shared" si="9"/>
        <v>#REF!</v>
      </c>
    </row>
    <row r="549" spans="2:8" hidden="1" x14ac:dyDescent="0.25">
      <c r="B549" s="90" t="e">
        <f>Gradesheet!#REF!</f>
        <v>#REF!</v>
      </c>
      <c r="C549" s="91" t="e">
        <f>(Gradesheet!#REF!)</f>
        <v>#REF!</v>
      </c>
      <c r="D549" s="92" t="e">
        <f>IF(Outline!$C$14&gt;0,Gradesheet!#REF!,Gradesheet!#REF!)</f>
        <v>#REF!</v>
      </c>
      <c r="E549" s="138" t="e">
        <f>IF(Outline!$C$14&gt;0,Gradesheet!#REF!,Gradesheet!#REF!)</f>
        <v>#REF!</v>
      </c>
      <c r="F549" s="138" t="e">
        <f>IF(Outline!$C$14&gt;0,Gradesheet!#REF!,"NA")</f>
        <v>#REF!</v>
      </c>
      <c r="G549" s="138" t="e">
        <f>IF(Outline!$C$14&gt;0,Gradesheet!#REF!,Gradesheet!#REF!)</f>
        <v>#REF!</v>
      </c>
      <c r="H549" s="139" t="e">
        <f t="shared" si="9"/>
        <v>#REF!</v>
      </c>
    </row>
    <row r="550" spans="2:8" hidden="1" x14ac:dyDescent="0.25">
      <c r="B550" s="90" t="e">
        <f>Gradesheet!#REF!</f>
        <v>#REF!</v>
      </c>
      <c r="C550" s="91" t="e">
        <f>(Gradesheet!#REF!)</f>
        <v>#REF!</v>
      </c>
      <c r="D550" s="92" t="e">
        <f>IF(Outline!$C$14&gt;0,Gradesheet!#REF!,Gradesheet!#REF!)</f>
        <v>#REF!</v>
      </c>
      <c r="E550" s="138" t="e">
        <f>IF(Outline!$C$14&gt;0,Gradesheet!#REF!,Gradesheet!#REF!)</f>
        <v>#REF!</v>
      </c>
      <c r="F550" s="138" t="e">
        <f>IF(Outline!$C$14&gt;0,Gradesheet!#REF!,"NA")</f>
        <v>#REF!</v>
      </c>
      <c r="G550" s="138" t="e">
        <f>IF(Outline!$C$14&gt;0,Gradesheet!#REF!,Gradesheet!#REF!)</f>
        <v>#REF!</v>
      </c>
      <c r="H550" s="139" t="e">
        <f t="shared" si="9"/>
        <v>#REF!</v>
      </c>
    </row>
    <row r="551" spans="2:8" hidden="1" x14ac:dyDescent="0.25">
      <c r="B551" s="90" t="e">
        <f>Gradesheet!#REF!</f>
        <v>#REF!</v>
      </c>
      <c r="C551" s="91" t="e">
        <f>(Gradesheet!#REF!)</f>
        <v>#REF!</v>
      </c>
      <c r="D551" s="92" t="e">
        <f>IF(Outline!$C$14&gt;0,Gradesheet!#REF!,Gradesheet!#REF!)</f>
        <v>#REF!</v>
      </c>
      <c r="E551" s="138" t="e">
        <f>IF(Outline!$C$14&gt;0,Gradesheet!#REF!,Gradesheet!#REF!)</f>
        <v>#REF!</v>
      </c>
      <c r="F551" s="138" t="e">
        <f>IF(Outline!$C$14&gt;0,Gradesheet!#REF!,"NA")</f>
        <v>#REF!</v>
      </c>
      <c r="G551" s="138" t="e">
        <f>IF(Outline!$C$14&gt;0,Gradesheet!#REF!,Gradesheet!#REF!)</f>
        <v>#REF!</v>
      </c>
      <c r="H551" s="139" t="e">
        <f t="shared" si="9"/>
        <v>#REF!</v>
      </c>
    </row>
    <row r="552" spans="2:8" hidden="1" x14ac:dyDescent="0.25">
      <c r="B552" s="90" t="e">
        <f>Gradesheet!#REF!</f>
        <v>#REF!</v>
      </c>
      <c r="C552" s="91" t="e">
        <f>(Gradesheet!#REF!)</f>
        <v>#REF!</v>
      </c>
      <c r="D552" s="92" t="e">
        <f>IF(Outline!$C$14&gt;0,Gradesheet!#REF!,Gradesheet!#REF!)</f>
        <v>#REF!</v>
      </c>
      <c r="E552" s="138" t="e">
        <f>IF(Outline!$C$14&gt;0,Gradesheet!#REF!,Gradesheet!#REF!)</f>
        <v>#REF!</v>
      </c>
      <c r="F552" s="138" t="e">
        <f>IF(Outline!$C$14&gt;0,Gradesheet!#REF!,"NA")</f>
        <v>#REF!</v>
      </c>
      <c r="G552" s="138" t="e">
        <f>IF(Outline!$C$14&gt;0,Gradesheet!#REF!,Gradesheet!#REF!)</f>
        <v>#REF!</v>
      </c>
      <c r="H552" s="139" t="e">
        <f t="shared" si="9"/>
        <v>#REF!</v>
      </c>
    </row>
    <row r="553" spans="2:8" hidden="1" x14ac:dyDescent="0.25">
      <c r="B553" s="90" t="e">
        <f>Gradesheet!#REF!</f>
        <v>#REF!</v>
      </c>
      <c r="C553" s="91" t="e">
        <f>(Gradesheet!#REF!)</f>
        <v>#REF!</v>
      </c>
      <c r="D553" s="92" t="e">
        <f>IF(Outline!$C$14&gt;0,Gradesheet!#REF!,Gradesheet!#REF!)</f>
        <v>#REF!</v>
      </c>
      <c r="E553" s="138" t="e">
        <f>IF(Outline!$C$14&gt;0,Gradesheet!#REF!,Gradesheet!#REF!)</f>
        <v>#REF!</v>
      </c>
      <c r="F553" s="138" t="e">
        <f>IF(Outline!$C$14&gt;0,Gradesheet!#REF!,"NA")</f>
        <v>#REF!</v>
      </c>
      <c r="G553" s="138" t="e">
        <f>IF(Outline!$C$14&gt;0,Gradesheet!#REF!,Gradesheet!#REF!)</f>
        <v>#REF!</v>
      </c>
      <c r="H553" s="139" t="e">
        <f t="shared" si="9"/>
        <v>#REF!</v>
      </c>
    </row>
    <row r="554" spans="2:8" hidden="1" x14ac:dyDescent="0.25">
      <c r="B554" s="90" t="e">
        <f>Gradesheet!#REF!</f>
        <v>#REF!</v>
      </c>
      <c r="C554" s="91" t="e">
        <f>(Gradesheet!#REF!)</f>
        <v>#REF!</v>
      </c>
      <c r="D554" s="92" t="e">
        <f>IF(Outline!$C$14&gt;0,Gradesheet!#REF!,Gradesheet!#REF!)</f>
        <v>#REF!</v>
      </c>
      <c r="E554" s="138" t="e">
        <f>IF(Outline!$C$14&gt;0,Gradesheet!#REF!,Gradesheet!#REF!)</f>
        <v>#REF!</v>
      </c>
      <c r="F554" s="138" t="e">
        <f>IF(Outline!$C$14&gt;0,Gradesheet!#REF!,"NA")</f>
        <v>#REF!</v>
      </c>
      <c r="G554" s="138" t="e">
        <f>IF(Outline!$C$14&gt;0,Gradesheet!#REF!,Gradesheet!#REF!)</f>
        <v>#REF!</v>
      </c>
      <c r="H554" s="139" t="e">
        <f t="shared" si="9"/>
        <v>#REF!</v>
      </c>
    </row>
    <row r="555" spans="2:8" hidden="1" x14ac:dyDescent="0.25">
      <c r="B555" s="90" t="e">
        <f>Gradesheet!#REF!</f>
        <v>#REF!</v>
      </c>
      <c r="C555" s="91" t="e">
        <f>(Gradesheet!#REF!)</f>
        <v>#REF!</v>
      </c>
      <c r="D555" s="92" t="e">
        <f>IF(Outline!$C$14&gt;0,Gradesheet!#REF!,Gradesheet!#REF!)</f>
        <v>#REF!</v>
      </c>
      <c r="E555" s="138" t="e">
        <f>IF(Outline!$C$14&gt;0,Gradesheet!#REF!,Gradesheet!#REF!)</f>
        <v>#REF!</v>
      </c>
      <c r="F555" s="138" t="e">
        <f>IF(Outline!$C$14&gt;0,Gradesheet!#REF!,"NA")</f>
        <v>#REF!</v>
      </c>
      <c r="G555" s="138" t="e">
        <f>IF(Outline!$C$14&gt;0,Gradesheet!#REF!,Gradesheet!#REF!)</f>
        <v>#REF!</v>
      </c>
      <c r="H555" s="139" t="e">
        <f t="shared" si="9"/>
        <v>#REF!</v>
      </c>
    </row>
    <row r="556" spans="2:8" hidden="1" x14ac:dyDescent="0.25">
      <c r="B556" s="90" t="e">
        <f>Gradesheet!#REF!</f>
        <v>#REF!</v>
      </c>
      <c r="C556" s="91" t="e">
        <f>(Gradesheet!#REF!)</f>
        <v>#REF!</v>
      </c>
      <c r="D556" s="92" t="e">
        <f>IF(Outline!$C$14&gt;0,Gradesheet!#REF!,Gradesheet!#REF!)</f>
        <v>#REF!</v>
      </c>
      <c r="E556" s="138" t="e">
        <f>IF(Outline!$C$14&gt;0,Gradesheet!#REF!,Gradesheet!#REF!)</f>
        <v>#REF!</v>
      </c>
      <c r="F556" s="138" t="e">
        <f>IF(Outline!$C$14&gt;0,Gradesheet!#REF!,"NA")</f>
        <v>#REF!</v>
      </c>
      <c r="G556" s="138" t="e">
        <f>IF(Outline!$C$14&gt;0,Gradesheet!#REF!,Gradesheet!#REF!)</f>
        <v>#REF!</v>
      </c>
      <c r="H556" s="139" t="e">
        <f t="shared" si="9"/>
        <v>#REF!</v>
      </c>
    </row>
    <row r="557" spans="2:8" hidden="1" x14ac:dyDescent="0.25">
      <c r="B557" s="90" t="e">
        <f>Gradesheet!#REF!</f>
        <v>#REF!</v>
      </c>
      <c r="C557" s="91" t="e">
        <f>(Gradesheet!#REF!)</f>
        <v>#REF!</v>
      </c>
      <c r="D557" s="92" t="e">
        <f>IF(Outline!$C$14&gt;0,Gradesheet!#REF!,Gradesheet!#REF!)</f>
        <v>#REF!</v>
      </c>
      <c r="E557" s="138" t="e">
        <f>IF(Outline!$C$14&gt;0,Gradesheet!#REF!,Gradesheet!#REF!)</f>
        <v>#REF!</v>
      </c>
      <c r="F557" s="138" t="e">
        <f>IF(Outline!$C$14&gt;0,Gradesheet!#REF!,"NA")</f>
        <v>#REF!</v>
      </c>
      <c r="G557" s="138" t="e">
        <f>IF(Outline!$C$14&gt;0,Gradesheet!#REF!,Gradesheet!#REF!)</f>
        <v>#REF!</v>
      </c>
      <c r="H557" s="139" t="e">
        <f t="shared" si="9"/>
        <v>#REF!</v>
      </c>
    </row>
    <row r="558" spans="2:8" hidden="1" x14ac:dyDescent="0.25">
      <c r="B558" s="90" t="e">
        <f>Gradesheet!#REF!</f>
        <v>#REF!</v>
      </c>
      <c r="C558" s="91" t="e">
        <f>(Gradesheet!#REF!)</f>
        <v>#REF!</v>
      </c>
      <c r="D558" s="92" t="e">
        <f>IF(Outline!$C$14&gt;0,Gradesheet!#REF!,Gradesheet!#REF!)</f>
        <v>#REF!</v>
      </c>
      <c r="E558" s="138" t="e">
        <f>IF(Outline!$C$14&gt;0,Gradesheet!#REF!,Gradesheet!#REF!)</f>
        <v>#REF!</v>
      </c>
      <c r="F558" s="138" t="e">
        <f>IF(Outline!$C$14&gt;0,Gradesheet!#REF!,"NA")</f>
        <v>#REF!</v>
      </c>
      <c r="G558" s="138" t="e">
        <f>IF(Outline!$C$14&gt;0,Gradesheet!#REF!,Gradesheet!#REF!)</f>
        <v>#REF!</v>
      </c>
      <c r="H558" s="139" t="e">
        <f t="shared" si="9"/>
        <v>#REF!</v>
      </c>
    </row>
    <row r="559" spans="2:8" hidden="1" x14ac:dyDescent="0.25">
      <c r="B559" s="90" t="e">
        <f>Gradesheet!#REF!</f>
        <v>#REF!</v>
      </c>
      <c r="C559" s="91" t="e">
        <f>(Gradesheet!#REF!)</f>
        <v>#REF!</v>
      </c>
      <c r="D559" s="92" t="e">
        <f>IF(Outline!$C$14&gt;0,Gradesheet!#REF!,Gradesheet!#REF!)</f>
        <v>#REF!</v>
      </c>
      <c r="E559" s="138" t="e">
        <f>IF(Outline!$C$14&gt;0,Gradesheet!#REF!,Gradesheet!#REF!)</f>
        <v>#REF!</v>
      </c>
      <c r="F559" s="138" t="e">
        <f>IF(Outline!$C$14&gt;0,Gradesheet!#REF!,"NA")</f>
        <v>#REF!</v>
      </c>
      <c r="G559" s="138" t="e">
        <f>IF(Outline!$C$14&gt;0,Gradesheet!#REF!,Gradesheet!#REF!)</f>
        <v>#REF!</v>
      </c>
      <c r="H559" s="139" t="e">
        <f t="shared" si="9"/>
        <v>#REF!</v>
      </c>
    </row>
    <row r="560" spans="2:8" hidden="1" x14ac:dyDescent="0.25">
      <c r="B560" s="90" t="e">
        <f>Gradesheet!#REF!</f>
        <v>#REF!</v>
      </c>
      <c r="C560" s="91" t="e">
        <f>(Gradesheet!#REF!)</f>
        <v>#REF!</v>
      </c>
      <c r="D560" s="92" t="e">
        <f>IF(Outline!$C$14&gt;0,Gradesheet!#REF!,Gradesheet!#REF!)</f>
        <v>#REF!</v>
      </c>
      <c r="E560" s="138" t="e">
        <f>IF(Outline!$C$14&gt;0,Gradesheet!#REF!,Gradesheet!#REF!)</f>
        <v>#REF!</v>
      </c>
      <c r="F560" s="138" t="e">
        <f>IF(Outline!$C$14&gt;0,Gradesheet!#REF!,"NA")</f>
        <v>#REF!</v>
      </c>
      <c r="G560" s="138" t="e">
        <f>IF(Outline!$C$14&gt;0,Gradesheet!#REF!,Gradesheet!#REF!)</f>
        <v>#REF!</v>
      </c>
      <c r="H560" s="139" t="e">
        <f t="shared" si="9"/>
        <v>#REF!</v>
      </c>
    </row>
    <row r="561" spans="2:8" hidden="1" x14ac:dyDescent="0.25">
      <c r="B561" s="90" t="e">
        <f>Gradesheet!#REF!</f>
        <v>#REF!</v>
      </c>
      <c r="C561" s="91" t="e">
        <f>(Gradesheet!#REF!)</f>
        <v>#REF!</v>
      </c>
      <c r="D561" s="92" t="e">
        <f>IF(Outline!$C$14&gt;0,Gradesheet!#REF!,Gradesheet!#REF!)</f>
        <v>#REF!</v>
      </c>
      <c r="E561" s="138" t="e">
        <f>IF(Outline!$C$14&gt;0,Gradesheet!#REF!,Gradesheet!#REF!)</f>
        <v>#REF!</v>
      </c>
      <c r="F561" s="138" t="e">
        <f>IF(Outline!$C$14&gt;0,Gradesheet!#REF!,"NA")</f>
        <v>#REF!</v>
      </c>
      <c r="G561" s="138" t="e">
        <f>IF(Outline!$C$14&gt;0,Gradesheet!#REF!,Gradesheet!#REF!)</f>
        <v>#REF!</v>
      </c>
      <c r="H561" s="139" t="e">
        <f t="shared" si="9"/>
        <v>#REF!</v>
      </c>
    </row>
    <row r="562" spans="2:8" hidden="1" x14ac:dyDescent="0.25">
      <c r="B562" s="90" t="e">
        <f>Gradesheet!#REF!</f>
        <v>#REF!</v>
      </c>
      <c r="C562" s="91" t="e">
        <f>(Gradesheet!#REF!)</f>
        <v>#REF!</v>
      </c>
      <c r="D562" s="92" t="e">
        <f>IF(Outline!$C$14&gt;0,Gradesheet!#REF!,Gradesheet!#REF!)</f>
        <v>#REF!</v>
      </c>
      <c r="E562" s="138" t="e">
        <f>IF(Outline!$C$14&gt;0,Gradesheet!#REF!,Gradesheet!#REF!)</f>
        <v>#REF!</v>
      </c>
      <c r="F562" s="138" t="e">
        <f>IF(Outline!$C$14&gt;0,Gradesheet!#REF!,"NA")</f>
        <v>#REF!</v>
      </c>
      <c r="G562" s="138" t="e">
        <f>IF(Outline!$C$14&gt;0,Gradesheet!#REF!,Gradesheet!#REF!)</f>
        <v>#REF!</v>
      </c>
      <c r="H562" s="139" t="e">
        <f t="shared" si="9"/>
        <v>#REF!</v>
      </c>
    </row>
    <row r="563" spans="2:8" hidden="1" x14ac:dyDescent="0.25">
      <c r="B563" s="90" t="e">
        <f>Gradesheet!#REF!</f>
        <v>#REF!</v>
      </c>
      <c r="C563" s="91" t="e">
        <f>(Gradesheet!#REF!)</f>
        <v>#REF!</v>
      </c>
      <c r="D563" s="92" t="e">
        <f>IF(Outline!$C$14&gt;0,Gradesheet!#REF!,Gradesheet!#REF!)</f>
        <v>#REF!</v>
      </c>
      <c r="E563" s="138" t="e">
        <f>IF(Outline!$C$14&gt;0,Gradesheet!#REF!,Gradesheet!#REF!)</f>
        <v>#REF!</v>
      </c>
      <c r="F563" s="138" t="e">
        <f>IF(Outline!$C$14&gt;0,Gradesheet!#REF!,"NA")</f>
        <v>#REF!</v>
      </c>
      <c r="G563" s="138" t="e">
        <f>IF(Outline!$C$14&gt;0,Gradesheet!#REF!,Gradesheet!#REF!)</f>
        <v>#REF!</v>
      </c>
      <c r="H563" s="139" t="e">
        <f t="shared" si="9"/>
        <v>#REF!</v>
      </c>
    </row>
    <row r="564" spans="2:8" hidden="1" x14ac:dyDescent="0.25">
      <c r="B564" s="90" t="e">
        <f>Gradesheet!#REF!</f>
        <v>#REF!</v>
      </c>
      <c r="C564" s="91" t="e">
        <f>(Gradesheet!#REF!)</f>
        <v>#REF!</v>
      </c>
      <c r="D564" s="92" t="e">
        <f>IF(Outline!$C$14&gt;0,Gradesheet!#REF!,Gradesheet!#REF!)</f>
        <v>#REF!</v>
      </c>
      <c r="E564" s="138" t="e">
        <f>IF(Outline!$C$14&gt;0,Gradesheet!#REF!,Gradesheet!#REF!)</f>
        <v>#REF!</v>
      </c>
      <c r="F564" s="138" t="e">
        <f>IF(Outline!$C$14&gt;0,Gradesheet!#REF!,"NA")</f>
        <v>#REF!</v>
      </c>
      <c r="G564" s="138" t="e">
        <f>IF(Outline!$C$14&gt;0,Gradesheet!#REF!,Gradesheet!#REF!)</f>
        <v>#REF!</v>
      </c>
      <c r="H564" s="139" t="e">
        <f t="shared" si="9"/>
        <v>#REF!</v>
      </c>
    </row>
    <row r="565" spans="2:8" hidden="1" x14ac:dyDescent="0.25">
      <c r="B565" s="90" t="e">
        <f>Gradesheet!#REF!</f>
        <v>#REF!</v>
      </c>
      <c r="C565" s="91" t="e">
        <f>(Gradesheet!#REF!)</f>
        <v>#REF!</v>
      </c>
      <c r="D565" s="92" t="e">
        <f>IF(Outline!$C$14&gt;0,Gradesheet!#REF!,Gradesheet!#REF!)</f>
        <v>#REF!</v>
      </c>
      <c r="E565" s="138" t="e">
        <f>IF(Outline!$C$14&gt;0,Gradesheet!#REF!,Gradesheet!#REF!)</f>
        <v>#REF!</v>
      </c>
      <c r="F565" s="138" t="e">
        <f>IF(Outline!$C$14&gt;0,Gradesheet!#REF!,"NA")</f>
        <v>#REF!</v>
      </c>
      <c r="G565" s="138" t="e">
        <f>IF(Outline!$C$14&gt;0,Gradesheet!#REF!,Gradesheet!#REF!)</f>
        <v>#REF!</v>
      </c>
      <c r="H565" s="139" t="e">
        <f t="shared" si="9"/>
        <v>#REF!</v>
      </c>
    </row>
    <row r="566" spans="2:8" hidden="1" x14ac:dyDescent="0.25">
      <c r="B566" s="90" t="e">
        <f>Gradesheet!#REF!</f>
        <v>#REF!</v>
      </c>
      <c r="C566" s="91" t="e">
        <f>(Gradesheet!#REF!)</f>
        <v>#REF!</v>
      </c>
      <c r="D566" s="92" t="e">
        <f>IF(Outline!$C$14&gt;0,Gradesheet!#REF!,Gradesheet!#REF!)</f>
        <v>#REF!</v>
      </c>
      <c r="E566" s="138" t="e">
        <f>IF(Outline!$C$14&gt;0,Gradesheet!#REF!,Gradesheet!#REF!)</f>
        <v>#REF!</v>
      </c>
      <c r="F566" s="138" t="e">
        <f>IF(Outline!$C$14&gt;0,Gradesheet!#REF!,"NA")</f>
        <v>#REF!</v>
      </c>
      <c r="G566" s="138" t="e">
        <f>IF(Outline!$C$14&gt;0,Gradesheet!#REF!,Gradesheet!#REF!)</f>
        <v>#REF!</v>
      </c>
      <c r="H566" s="139" t="e">
        <f t="shared" si="9"/>
        <v>#REF!</v>
      </c>
    </row>
    <row r="567" spans="2:8" hidden="1" x14ac:dyDescent="0.25">
      <c r="B567" s="90" t="e">
        <f>Gradesheet!#REF!</f>
        <v>#REF!</v>
      </c>
      <c r="C567" s="91" t="e">
        <f>(Gradesheet!#REF!)</f>
        <v>#REF!</v>
      </c>
      <c r="D567" s="92" t="e">
        <f>IF(Outline!$C$14&gt;0,Gradesheet!#REF!,Gradesheet!#REF!)</f>
        <v>#REF!</v>
      </c>
      <c r="E567" s="138" t="e">
        <f>IF(Outline!$C$14&gt;0,Gradesheet!#REF!,Gradesheet!#REF!)</f>
        <v>#REF!</v>
      </c>
      <c r="F567" s="138" t="e">
        <f>IF(Outline!$C$14&gt;0,Gradesheet!#REF!,"NA")</f>
        <v>#REF!</v>
      </c>
      <c r="G567" s="138" t="e">
        <f>IF(Outline!$C$14&gt;0,Gradesheet!#REF!,Gradesheet!#REF!)</f>
        <v>#REF!</v>
      </c>
      <c r="H567" s="139" t="e">
        <f t="shared" si="9"/>
        <v>#REF!</v>
      </c>
    </row>
    <row r="568" spans="2:8" hidden="1" x14ac:dyDescent="0.25">
      <c r="B568" s="90" t="e">
        <f>Gradesheet!#REF!</f>
        <v>#REF!</v>
      </c>
      <c r="C568" s="91" t="e">
        <f>(Gradesheet!#REF!)</f>
        <v>#REF!</v>
      </c>
      <c r="D568" s="92" t="e">
        <f>IF(Outline!$C$14&gt;0,Gradesheet!#REF!,Gradesheet!#REF!)</f>
        <v>#REF!</v>
      </c>
      <c r="E568" s="138" t="e">
        <f>IF(Outline!$C$14&gt;0,Gradesheet!#REF!,Gradesheet!#REF!)</f>
        <v>#REF!</v>
      </c>
      <c r="F568" s="138" t="e">
        <f>IF(Outline!$C$14&gt;0,Gradesheet!#REF!,"NA")</f>
        <v>#REF!</v>
      </c>
      <c r="G568" s="138" t="e">
        <f>IF(Outline!$C$14&gt;0,Gradesheet!#REF!,Gradesheet!#REF!)</f>
        <v>#REF!</v>
      </c>
      <c r="H568" s="139" t="e">
        <f t="shared" si="9"/>
        <v>#REF!</v>
      </c>
    </row>
    <row r="569" spans="2:8" hidden="1" x14ac:dyDescent="0.25">
      <c r="B569" s="90" t="e">
        <f>Gradesheet!#REF!</f>
        <v>#REF!</v>
      </c>
      <c r="C569" s="91" t="e">
        <f>(Gradesheet!#REF!)</f>
        <v>#REF!</v>
      </c>
      <c r="D569" s="92" t="e">
        <f>IF(Outline!$C$14&gt;0,Gradesheet!#REF!,Gradesheet!#REF!)</f>
        <v>#REF!</v>
      </c>
      <c r="E569" s="138" t="e">
        <f>IF(Outline!$C$14&gt;0,Gradesheet!#REF!,Gradesheet!#REF!)</f>
        <v>#REF!</v>
      </c>
      <c r="F569" s="138" t="e">
        <f>IF(Outline!$C$14&gt;0,Gradesheet!#REF!,"NA")</f>
        <v>#REF!</v>
      </c>
      <c r="G569" s="138" t="e">
        <f>IF(Outline!$C$14&gt;0,Gradesheet!#REF!,Gradesheet!#REF!)</f>
        <v>#REF!</v>
      </c>
      <c r="H569" s="139" t="e">
        <f t="shared" si="9"/>
        <v>#REF!</v>
      </c>
    </row>
    <row r="570" spans="2:8" hidden="1" x14ac:dyDescent="0.25">
      <c r="B570" s="90" t="e">
        <f>Gradesheet!#REF!</f>
        <v>#REF!</v>
      </c>
      <c r="C570" s="91" t="e">
        <f>(Gradesheet!#REF!)</f>
        <v>#REF!</v>
      </c>
      <c r="D570" s="92" t="e">
        <f>IF(Outline!$C$14&gt;0,Gradesheet!#REF!,Gradesheet!#REF!)</f>
        <v>#REF!</v>
      </c>
      <c r="E570" s="138" t="e">
        <f>IF(Outline!$C$14&gt;0,Gradesheet!#REF!,Gradesheet!#REF!)</f>
        <v>#REF!</v>
      </c>
      <c r="F570" s="138" t="e">
        <f>IF(Outline!$C$14&gt;0,Gradesheet!#REF!,"NA")</f>
        <v>#REF!</v>
      </c>
      <c r="G570" s="138" t="e">
        <f>IF(Outline!$C$14&gt;0,Gradesheet!#REF!,Gradesheet!#REF!)</f>
        <v>#REF!</v>
      </c>
      <c r="H570" s="139" t="e">
        <f t="shared" si="9"/>
        <v>#REF!</v>
      </c>
    </row>
    <row r="571" spans="2:8" hidden="1" x14ac:dyDescent="0.25">
      <c r="B571" s="90" t="e">
        <f>Gradesheet!#REF!</f>
        <v>#REF!</v>
      </c>
      <c r="C571" s="91" t="e">
        <f>(Gradesheet!#REF!)</f>
        <v>#REF!</v>
      </c>
      <c r="D571" s="92" t="e">
        <f>IF(Outline!$C$14&gt;0,Gradesheet!#REF!,Gradesheet!#REF!)</f>
        <v>#REF!</v>
      </c>
      <c r="E571" s="138" t="e">
        <f>IF(Outline!$C$14&gt;0,Gradesheet!#REF!,Gradesheet!#REF!)</f>
        <v>#REF!</v>
      </c>
      <c r="F571" s="138" t="e">
        <f>IF(Outline!$C$14&gt;0,Gradesheet!#REF!,"NA")</f>
        <v>#REF!</v>
      </c>
      <c r="G571" s="138" t="e">
        <f>IF(Outline!$C$14&gt;0,Gradesheet!#REF!,Gradesheet!#REF!)</f>
        <v>#REF!</v>
      </c>
      <c r="H571" s="139" t="e">
        <f t="shared" si="9"/>
        <v>#REF!</v>
      </c>
    </row>
    <row r="572" spans="2:8" hidden="1" x14ac:dyDescent="0.25">
      <c r="B572" s="90" t="e">
        <f>Gradesheet!#REF!</f>
        <v>#REF!</v>
      </c>
      <c r="C572" s="91" t="e">
        <f>(Gradesheet!#REF!)</f>
        <v>#REF!</v>
      </c>
      <c r="D572" s="92" t="e">
        <f>IF(Outline!$C$14&gt;0,Gradesheet!#REF!,Gradesheet!#REF!)</f>
        <v>#REF!</v>
      </c>
      <c r="E572" s="138" t="e">
        <f>IF(Outline!$C$14&gt;0,Gradesheet!#REF!,Gradesheet!#REF!)</f>
        <v>#REF!</v>
      </c>
      <c r="F572" s="138" t="e">
        <f>IF(Outline!$C$14&gt;0,Gradesheet!#REF!,"NA")</f>
        <v>#REF!</v>
      </c>
      <c r="G572" s="138" t="e">
        <f>IF(Outline!$C$14&gt;0,Gradesheet!#REF!,Gradesheet!#REF!)</f>
        <v>#REF!</v>
      </c>
      <c r="H572" s="139" t="e">
        <f t="shared" si="9"/>
        <v>#REF!</v>
      </c>
    </row>
    <row r="573" spans="2:8" hidden="1" x14ac:dyDescent="0.25">
      <c r="B573" s="90" t="e">
        <f>Gradesheet!#REF!</f>
        <v>#REF!</v>
      </c>
      <c r="C573" s="91" t="e">
        <f>(Gradesheet!#REF!)</f>
        <v>#REF!</v>
      </c>
      <c r="D573" s="92" t="e">
        <f>IF(Outline!$C$14&gt;0,Gradesheet!#REF!,Gradesheet!#REF!)</f>
        <v>#REF!</v>
      </c>
      <c r="E573" s="138" t="e">
        <f>IF(Outline!$C$14&gt;0,Gradesheet!#REF!,Gradesheet!#REF!)</f>
        <v>#REF!</v>
      </c>
      <c r="F573" s="138" t="e">
        <f>IF(Outline!$C$14&gt;0,Gradesheet!#REF!,"NA")</f>
        <v>#REF!</v>
      </c>
      <c r="G573" s="138" t="e">
        <f>IF(Outline!$C$14&gt;0,Gradesheet!#REF!,Gradesheet!#REF!)</f>
        <v>#REF!</v>
      </c>
      <c r="H573" s="139" t="e">
        <f t="shared" si="9"/>
        <v>#REF!</v>
      </c>
    </row>
    <row r="574" spans="2:8" hidden="1" x14ac:dyDescent="0.25">
      <c r="B574" s="90" t="e">
        <f>Gradesheet!#REF!</f>
        <v>#REF!</v>
      </c>
      <c r="C574" s="91" t="e">
        <f>(Gradesheet!#REF!)</f>
        <v>#REF!</v>
      </c>
      <c r="D574" s="92" t="e">
        <f>IF(Outline!$C$14&gt;0,Gradesheet!#REF!,Gradesheet!#REF!)</f>
        <v>#REF!</v>
      </c>
      <c r="E574" s="138" t="e">
        <f>IF(Outline!$C$14&gt;0,Gradesheet!#REF!,Gradesheet!#REF!)</f>
        <v>#REF!</v>
      </c>
      <c r="F574" s="138" t="e">
        <f>IF(Outline!$C$14&gt;0,Gradesheet!#REF!,"NA")</f>
        <v>#REF!</v>
      </c>
      <c r="G574" s="138" t="e">
        <f>IF(Outline!$C$14&gt;0,Gradesheet!#REF!,Gradesheet!#REF!)</f>
        <v>#REF!</v>
      </c>
      <c r="H574" s="139" t="e">
        <f t="shared" si="9"/>
        <v>#REF!</v>
      </c>
    </row>
    <row r="575" spans="2:8" hidden="1" x14ac:dyDescent="0.25">
      <c r="B575" s="90" t="e">
        <f>Gradesheet!#REF!</f>
        <v>#REF!</v>
      </c>
      <c r="C575" s="91" t="e">
        <f>(Gradesheet!#REF!)</f>
        <v>#REF!</v>
      </c>
      <c r="D575" s="92" t="e">
        <f>IF(Outline!$C$14&gt;0,Gradesheet!#REF!,Gradesheet!#REF!)</f>
        <v>#REF!</v>
      </c>
      <c r="E575" s="138" t="e">
        <f>IF(Outline!$C$14&gt;0,Gradesheet!#REF!,Gradesheet!#REF!)</f>
        <v>#REF!</v>
      </c>
      <c r="F575" s="138" t="e">
        <f>IF(Outline!$C$14&gt;0,Gradesheet!#REF!,"NA")</f>
        <v>#REF!</v>
      </c>
      <c r="G575" s="138" t="e">
        <f>IF(Outline!$C$14&gt;0,Gradesheet!#REF!,Gradesheet!#REF!)</f>
        <v>#REF!</v>
      </c>
      <c r="H575" s="139" t="e">
        <f t="shared" si="9"/>
        <v>#REF!</v>
      </c>
    </row>
    <row r="576" spans="2:8" hidden="1" x14ac:dyDescent="0.25">
      <c r="B576" s="90" t="e">
        <f>Gradesheet!#REF!</f>
        <v>#REF!</v>
      </c>
      <c r="C576" s="91" t="e">
        <f>(Gradesheet!#REF!)</f>
        <v>#REF!</v>
      </c>
      <c r="D576" s="92" t="e">
        <f>IF(Outline!$C$14&gt;0,Gradesheet!#REF!,Gradesheet!#REF!)</f>
        <v>#REF!</v>
      </c>
      <c r="E576" s="138" t="e">
        <f>IF(Outline!$C$14&gt;0,Gradesheet!#REF!,Gradesheet!#REF!)</f>
        <v>#REF!</v>
      </c>
      <c r="F576" s="138" t="e">
        <f>IF(Outline!$C$14&gt;0,Gradesheet!#REF!,"NA")</f>
        <v>#REF!</v>
      </c>
      <c r="G576" s="138" t="e">
        <f>IF(Outline!$C$14&gt;0,Gradesheet!#REF!,Gradesheet!#REF!)</f>
        <v>#REF!</v>
      </c>
      <c r="H576" s="139" t="e">
        <f t="shared" si="9"/>
        <v>#REF!</v>
      </c>
    </row>
    <row r="577" spans="2:8" hidden="1" x14ac:dyDescent="0.25">
      <c r="B577" s="90" t="e">
        <f>Gradesheet!#REF!</f>
        <v>#REF!</v>
      </c>
      <c r="C577" s="91" t="e">
        <f>(Gradesheet!#REF!)</f>
        <v>#REF!</v>
      </c>
      <c r="D577" s="92" t="e">
        <f>IF(Outline!$C$14&gt;0,Gradesheet!#REF!,Gradesheet!#REF!)</f>
        <v>#REF!</v>
      </c>
      <c r="E577" s="138" t="e">
        <f>IF(Outline!$C$14&gt;0,Gradesheet!#REF!,Gradesheet!#REF!)</f>
        <v>#REF!</v>
      </c>
      <c r="F577" s="138" t="e">
        <f>IF(Outline!$C$14&gt;0,Gradesheet!#REF!,"NA")</f>
        <v>#REF!</v>
      </c>
      <c r="G577" s="138" t="e">
        <f>IF(Outline!$C$14&gt;0,Gradesheet!#REF!,Gradesheet!#REF!)</f>
        <v>#REF!</v>
      </c>
      <c r="H577" s="139" t="e">
        <f t="shared" si="9"/>
        <v>#REF!</v>
      </c>
    </row>
    <row r="578" spans="2:8" hidden="1" x14ac:dyDescent="0.25">
      <c r="B578" s="90" t="e">
        <f>Gradesheet!#REF!</f>
        <v>#REF!</v>
      </c>
      <c r="C578" s="91" t="e">
        <f>(Gradesheet!#REF!)</f>
        <v>#REF!</v>
      </c>
      <c r="D578" s="92" t="e">
        <f>IF(Outline!$C$14&gt;0,Gradesheet!#REF!,Gradesheet!#REF!)</f>
        <v>#REF!</v>
      </c>
      <c r="E578" s="138" t="e">
        <f>IF(Outline!$C$14&gt;0,Gradesheet!#REF!,Gradesheet!#REF!)</f>
        <v>#REF!</v>
      </c>
      <c r="F578" s="138" t="e">
        <f>IF(Outline!$C$14&gt;0,Gradesheet!#REF!,"NA")</f>
        <v>#REF!</v>
      </c>
      <c r="G578" s="138" t="e">
        <f>IF(Outline!$C$14&gt;0,Gradesheet!#REF!,Gradesheet!#REF!)</f>
        <v>#REF!</v>
      </c>
      <c r="H578" s="139" t="e">
        <f t="shared" si="9"/>
        <v>#REF!</v>
      </c>
    </row>
    <row r="579" spans="2:8" hidden="1" x14ac:dyDescent="0.25">
      <c r="B579" s="90" t="e">
        <f>Gradesheet!#REF!</f>
        <v>#REF!</v>
      </c>
      <c r="C579" s="91" t="e">
        <f>(Gradesheet!#REF!)</f>
        <v>#REF!</v>
      </c>
      <c r="D579" s="92" t="e">
        <f>IF(Outline!$C$14&gt;0,Gradesheet!#REF!,Gradesheet!#REF!)</f>
        <v>#REF!</v>
      </c>
      <c r="E579" s="138" t="e">
        <f>IF(Outline!$C$14&gt;0,Gradesheet!#REF!,Gradesheet!#REF!)</f>
        <v>#REF!</v>
      </c>
      <c r="F579" s="138" t="e">
        <f>IF(Outline!$C$14&gt;0,Gradesheet!#REF!,"NA")</f>
        <v>#REF!</v>
      </c>
      <c r="G579" s="138" t="e">
        <f>IF(Outline!$C$14&gt;0,Gradesheet!#REF!,Gradesheet!#REF!)</f>
        <v>#REF!</v>
      </c>
      <c r="H579" s="139" t="e">
        <f t="shared" si="9"/>
        <v>#REF!</v>
      </c>
    </row>
    <row r="580" spans="2:8" hidden="1" x14ac:dyDescent="0.25">
      <c r="B580" s="90" t="e">
        <f>Gradesheet!#REF!</f>
        <v>#REF!</v>
      </c>
      <c r="C580" s="91" t="e">
        <f>(Gradesheet!#REF!)</f>
        <v>#REF!</v>
      </c>
      <c r="D580" s="92" t="e">
        <f>IF(Outline!$C$14&gt;0,Gradesheet!#REF!,Gradesheet!#REF!)</f>
        <v>#REF!</v>
      </c>
      <c r="E580" s="138" t="e">
        <f>IF(Outline!$C$14&gt;0,Gradesheet!#REF!,Gradesheet!#REF!)</f>
        <v>#REF!</v>
      </c>
      <c r="F580" s="138" t="e">
        <f>IF(Outline!$C$14&gt;0,Gradesheet!#REF!,"NA")</f>
        <v>#REF!</v>
      </c>
      <c r="G580" s="138" t="e">
        <f>IF(Outline!$C$14&gt;0,Gradesheet!#REF!,Gradesheet!#REF!)</f>
        <v>#REF!</v>
      </c>
      <c r="H580" s="139" t="e">
        <f t="shared" si="9"/>
        <v>#REF!</v>
      </c>
    </row>
    <row r="581" spans="2:8" hidden="1" x14ac:dyDescent="0.25">
      <c r="B581" s="90" t="e">
        <f>Gradesheet!#REF!</f>
        <v>#REF!</v>
      </c>
      <c r="C581" s="91" t="e">
        <f>(Gradesheet!#REF!)</f>
        <v>#REF!</v>
      </c>
      <c r="D581" s="92" t="e">
        <f>IF(Outline!$C$14&gt;0,Gradesheet!#REF!,Gradesheet!#REF!)</f>
        <v>#REF!</v>
      </c>
      <c r="E581" s="138" t="e">
        <f>IF(Outline!$C$14&gt;0,Gradesheet!#REF!,Gradesheet!#REF!)</f>
        <v>#REF!</v>
      </c>
      <c r="F581" s="138" t="e">
        <f>IF(Outline!$C$14&gt;0,Gradesheet!#REF!,"NA")</f>
        <v>#REF!</v>
      </c>
      <c r="G581" s="138" t="e">
        <f>IF(Outline!$C$14&gt;0,Gradesheet!#REF!,Gradesheet!#REF!)</f>
        <v>#REF!</v>
      </c>
      <c r="H581" s="139" t="e">
        <f t="shared" si="9"/>
        <v>#REF!</v>
      </c>
    </row>
    <row r="582" spans="2:8" hidden="1" x14ac:dyDescent="0.25">
      <c r="B582" s="90" t="e">
        <f>Gradesheet!#REF!</f>
        <v>#REF!</v>
      </c>
      <c r="C582" s="91" t="e">
        <f>(Gradesheet!#REF!)</f>
        <v>#REF!</v>
      </c>
      <c r="D582" s="92" t="e">
        <f>IF(Outline!$C$14&gt;0,Gradesheet!#REF!,Gradesheet!#REF!)</f>
        <v>#REF!</v>
      </c>
      <c r="E582" s="138" t="e">
        <f>IF(Outline!$C$14&gt;0,Gradesheet!#REF!,Gradesheet!#REF!)</f>
        <v>#REF!</v>
      </c>
      <c r="F582" s="138" t="e">
        <f>IF(Outline!$C$14&gt;0,Gradesheet!#REF!,"NA")</f>
        <v>#REF!</v>
      </c>
      <c r="G582" s="138" t="e">
        <f>IF(Outline!$C$14&gt;0,Gradesheet!#REF!,Gradesheet!#REF!)</f>
        <v>#REF!</v>
      </c>
      <c r="H582" s="139" t="e">
        <f t="shared" si="9"/>
        <v>#REF!</v>
      </c>
    </row>
    <row r="583" spans="2:8" hidden="1" x14ac:dyDescent="0.25">
      <c r="B583" s="90" t="e">
        <f>Gradesheet!#REF!</f>
        <v>#REF!</v>
      </c>
      <c r="C583" s="91" t="e">
        <f>(Gradesheet!#REF!)</f>
        <v>#REF!</v>
      </c>
      <c r="D583" s="92" t="e">
        <f>IF(Outline!$C$14&gt;0,Gradesheet!#REF!,Gradesheet!#REF!)</f>
        <v>#REF!</v>
      </c>
      <c r="E583" s="138" t="e">
        <f>IF(Outline!$C$14&gt;0,Gradesheet!#REF!,Gradesheet!#REF!)</f>
        <v>#REF!</v>
      </c>
      <c r="F583" s="138" t="e">
        <f>IF(Outline!$C$14&gt;0,Gradesheet!#REF!,"NA")</f>
        <v>#REF!</v>
      </c>
      <c r="G583" s="138" t="e">
        <f>IF(Outline!$C$14&gt;0,Gradesheet!#REF!,Gradesheet!#REF!)</f>
        <v>#REF!</v>
      </c>
      <c r="H583" s="139" t="e">
        <f t="shared" ref="H583:H646" si="10">SUM(D583:G583)</f>
        <v>#REF!</v>
      </c>
    </row>
    <row r="584" spans="2:8" hidden="1" x14ac:dyDescent="0.25">
      <c r="B584" s="90" t="e">
        <f>Gradesheet!#REF!</f>
        <v>#REF!</v>
      </c>
      <c r="C584" s="91" t="e">
        <f>(Gradesheet!#REF!)</f>
        <v>#REF!</v>
      </c>
      <c r="D584" s="92" t="e">
        <f>IF(Outline!$C$14&gt;0,Gradesheet!#REF!,Gradesheet!#REF!)</f>
        <v>#REF!</v>
      </c>
      <c r="E584" s="138" t="e">
        <f>IF(Outline!$C$14&gt;0,Gradesheet!#REF!,Gradesheet!#REF!)</f>
        <v>#REF!</v>
      </c>
      <c r="F584" s="138" t="e">
        <f>IF(Outline!$C$14&gt;0,Gradesheet!#REF!,"NA")</f>
        <v>#REF!</v>
      </c>
      <c r="G584" s="138" t="e">
        <f>IF(Outline!$C$14&gt;0,Gradesheet!#REF!,Gradesheet!#REF!)</f>
        <v>#REF!</v>
      </c>
      <c r="H584" s="139" t="e">
        <f t="shared" si="10"/>
        <v>#REF!</v>
      </c>
    </row>
    <row r="585" spans="2:8" hidden="1" x14ac:dyDescent="0.25">
      <c r="B585" s="90" t="e">
        <f>Gradesheet!#REF!</f>
        <v>#REF!</v>
      </c>
      <c r="C585" s="91" t="e">
        <f>(Gradesheet!#REF!)</f>
        <v>#REF!</v>
      </c>
      <c r="D585" s="92" t="e">
        <f>IF(Outline!$C$14&gt;0,Gradesheet!#REF!,Gradesheet!#REF!)</f>
        <v>#REF!</v>
      </c>
      <c r="E585" s="138" t="e">
        <f>IF(Outline!$C$14&gt;0,Gradesheet!#REF!,Gradesheet!#REF!)</f>
        <v>#REF!</v>
      </c>
      <c r="F585" s="138" t="e">
        <f>IF(Outline!$C$14&gt;0,Gradesheet!#REF!,"NA")</f>
        <v>#REF!</v>
      </c>
      <c r="G585" s="138" t="e">
        <f>IF(Outline!$C$14&gt;0,Gradesheet!#REF!,Gradesheet!#REF!)</f>
        <v>#REF!</v>
      </c>
      <c r="H585" s="139" t="e">
        <f t="shared" si="10"/>
        <v>#REF!</v>
      </c>
    </row>
    <row r="586" spans="2:8" hidden="1" x14ac:dyDescent="0.25">
      <c r="B586" s="90" t="e">
        <f>Gradesheet!#REF!</f>
        <v>#REF!</v>
      </c>
      <c r="C586" s="91" t="e">
        <f>(Gradesheet!#REF!)</f>
        <v>#REF!</v>
      </c>
      <c r="D586" s="92" t="e">
        <f>IF(Outline!$C$14&gt;0,Gradesheet!#REF!,Gradesheet!#REF!)</f>
        <v>#REF!</v>
      </c>
      <c r="E586" s="138" t="e">
        <f>IF(Outline!$C$14&gt;0,Gradesheet!#REF!,Gradesheet!#REF!)</f>
        <v>#REF!</v>
      </c>
      <c r="F586" s="138" t="e">
        <f>IF(Outline!$C$14&gt;0,Gradesheet!#REF!,"NA")</f>
        <v>#REF!</v>
      </c>
      <c r="G586" s="138" t="e">
        <f>IF(Outline!$C$14&gt;0,Gradesheet!#REF!,Gradesheet!#REF!)</f>
        <v>#REF!</v>
      </c>
      <c r="H586" s="139" t="e">
        <f t="shared" si="10"/>
        <v>#REF!</v>
      </c>
    </row>
    <row r="587" spans="2:8" hidden="1" x14ac:dyDescent="0.25">
      <c r="B587" s="90" t="e">
        <f>Gradesheet!#REF!</f>
        <v>#REF!</v>
      </c>
      <c r="C587" s="91" t="e">
        <f>(Gradesheet!#REF!)</f>
        <v>#REF!</v>
      </c>
      <c r="D587" s="92" t="e">
        <f>IF(Outline!$C$14&gt;0,Gradesheet!#REF!,Gradesheet!#REF!)</f>
        <v>#REF!</v>
      </c>
      <c r="E587" s="138" t="e">
        <f>IF(Outline!$C$14&gt;0,Gradesheet!#REF!,Gradesheet!#REF!)</f>
        <v>#REF!</v>
      </c>
      <c r="F587" s="138" t="e">
        <f>IF(Outline!$C$14&gt;0,Gradesheet!#REF!,"NA")</f>
        <v>#REF!</v>
      </c>
      <c r="G587" s="138" t="e">
        <f>IF(Outline!$C$14&gt;0,Gradesheet!#REF!,Gradesheet!#REF!)</f>
        <v>#REF!</v>
      </c>
      <c r="H587" s="139" t="e">
        <f t="shared" si="10"/>
        <v>#REF!</v>
      </c>
    </row>
    <row r="588" spans="2:8" hidden="1" x14ac:dyDescent="0.25">
      <c r="B588" s="90" t="e">
        <f>Gradesheet!#REF!</f>
        <v>#REF!</v>
      </c>
      <c r="C588" s="91" t="e">
        <f>(Gradesheet!#REF!)</f>
        <v>#REF!</v>
      </c>
      <c r="D588" s="92" t="e">
        <f>IF(Outline!$C$14&gt;0,Gradesheet!#REF!,Gradesheet!#REF!)</f>
        <v>#REF!</v>
      </c>
      <c r="E588" s="138" t="e">
        <f>IF(Outline!$C$14&gt;0,Gradesheet!#REF!,Gradesheet!#REF!)</f>
        <v>#REF!</v>
      </c>
      <c r="F588" s="138" t="e">
        <f>IF(Outline!$C$14&gt;0,Gradesheet!#REF!,"NA")</f>
        <v>#REF!</v>
      </c>
      <c r="G588" s="138" t="e">
        <f>IF(Outline!$C$14&gt;0,Gradesheet!#REF!,Gradesheet!#REF!)</f>
        <v>#REF!</v>
      </c>
      <c r="H588" s="139" t="e">
        <f t="shared" si="10"/>
        <v>#REF!</v>
      </c>
    </row>
    <row r="589" spans="2:8" hidden="1" x14ac:dyDescent="0.25">
      <c r="B589" s="90" t="e">
        <f>Gradesheet!#REF!</f>
        <v>#REF!</v>
      </c>
      <c r="C589" s="91" t="e">
        <f>(Gradesheet!#REF!)</f>
        <v>#REF!</v>
      </c>
      <c r="D589" s="92" t="e">
        <f>IF(Outline!$C$14&gt;0,Gradesheet!#REF!,Gradesheet!#REF!)</f>
        <v>#REF!</v>
      </c>
      <c r="E589" s="138" t="e">
        <f>IF(Outline!$C$14&gt;0,Gradesheet!#REF!,Gradesheet!#REF!)</f>
        <v>#REF!</v>
      </c>
      <c r="F589" s="138" t="e">
        <f>IF(Outline!$C$14&gt;0,Gradesheet!#REF!,"NA")</f>
        <v>#REF!</v>
      </c>
      <c r="G589" s="138" t="e">
        <f>IF(Outline!$C$14&gt;0,Gradesheet!#REF!,Gradesheet!#REF!)</f>
        <v>#REF!</v>
      </c>
      <c r="H589" s="139" t="e">
        <f t="shared" si="10"/>
        <v>#REF!</v>
      </c>
    </row>
    <row r="590" spans="2:8" hidden="1" x14ac:dyDescent="0.25">
      <c r="B590" s="90" t="e">
        <f>Gradesheet!#REF!</f>
        <v>#REF!</v>
      </c>
      <c r="C590" s="91" t="e">
        <f>(Gradesheet!#REF!)</f>
        <v>#REF!</v>
      </c>
      <c r="D590" s="92" t="e">
        <f>IF(Outline!$C$14&gt;0,Gradesheet!#REF!,Gradesheet!#REF!)</f>
        <v>#REF!</v>
      </c>
      <c r="E590" s="138" t="e">
        <f>IF(Outline!$C$14&gt;0,Gradesheet!#REF!,Gradesheet!#REF!)</f>
        <v>#REF!</v>
      </c>
      <c r="F590" s="138" t="e">
        <f>IF(Outline!$C$14&gt;0,Gradesheet!#REF!,"NA")</f>
        <v>#REF!</v>
      </c>
      <c r="G590" s="138" t="e">
        <f>IF(Outline!$C$14&gt;0,Gradesheet!#REF!,Gradesheet!#REF!)</f>
        <v>#REF!</v>
      </c>
      <c r="H590" s="139" t="e">
        <f t="shared" si="10"/>
        <v>#REF!</v>
      </c>
    </row>
    <row r="591" spans="2:8" hidden="1" x14ac:dyDescent="0.25">
      <c r="B591" s="90" t="e">
        <f>Gradesheet!#REF!</f>
        <v>#REF!</v>
      </c>
      <c r="C591" s="91" t="e">
        <f>(Gradesheet!#REF!)</f>
        <v>#REF!</v>
      </c>
      <c r="D591" s="92" t="e">
        <f>IF(Outline!$C$14&gt;0,Gradesheet!#REF!,Gradesheet!#REF!)</f>
        <v>#REF!</v>
      </c>
      <c r="E591" s="138" t="e">
        <f>IF(Outline!$C$14&gt;0,Gradesheet!#REF!,Gradesheet!#REF!)</f>
        <v>#REF!</v>
      </c>
      <c r="F591" s="138" t="e">
        <f>IF(Outline!$C$14&gt;0,Gradesheet!#REF!,"NA")</f>
        <v>#REF!</v>
      </c>
      <c r="G591" s="138" t="e">
        <f>IF(Outline!$C$14&gt;0,Gradesheet!#REF!,Gradesheet!#REF!)</f>
        <v>#REF!</v>
      </c>
      <c r="H591" s="139" t="e">
        <f t="shared" si="10"/>
        <v>#REF!</v>
      </c>
    </row>
    <row r="592" spans="2:8" hidden="1" x14ac:dyDescent="0.25">
      <c r="B592" s="90" t="e">
        <f>Gradesheet!#REF!</f>
        <v>#REF!</v>
      </c>
      <c r="C592" s="91" t="e">
        <f>(Gradesheet!#REF!)</f>
        <v>#REF!</v>
      </c>
      <c r="D592" s="92" t="e">
        <f>IF(Outline!$C$14&gt;0,Gradesheet!#REF!,Gradesheet!#REF!)</f>
        <v>#REF!</v>
      </c>
      <c r="E592" s="138" t="e">
        <f>IF(Outline!$C$14&gt;0,Gradesheet!#REF!,Gradesheet!#REF!)</f>
        <v>#REF!</v>
      </c>
      <c r="F592" s="138" t="e">
        <f>IF(Outline!$C$14&gt;0,Gradesheet!#REF!,"NA")</f>
        <v>#REF!</v>
      </c>
      <c r="G592" s="138" t="e">
        <f>IF(Outline!$C$14&gt;0,Gradesheet!#REF!,Gradesheet!#REF!)</f>
        <v>#REF!</v>
      </c>
      <c r="H592" s="139" t="e">
        <f t="shared" si="10"/>
        <v>#REF!</v>
      </c>
    </row>
    <row r="593" spans="2:8" hidden="1" x14ac:dyDescent="0.25">
      <c r="B593" s="90" t="e">
        <f>Gradesheet!#REF!</f>
        <v>#REF!</v>
      </c>
      <c r="C593" s="91" t="e">
        <f>(Gradesheet!#REF!)</f>
        <v>#REF!</v>
      </c>
      <c r="D593" s="92" t="e">
        <f>IF(Outline!$C$14&gt;0,Gradesheet!#REF!,Gradesheet!#REF!)</f>
        <v>#REF!</v>
      </c>
      <c r="E593" s="138" t="e">
        <f>IF(Outline!$C$14&gt;0,Gradesheet!#REF!,Gradesheet!#REF!)</f>
        <v>#REF!</v>
      </c>
      <c r="F593" s="138" t="e">
        <f>IF(Outline!$C$14&gt;0,Gradesheet!#REF!,"NA")</f>
        <v>#REF!</v>
      </c>
      <c r="G593" s="138" t="e">
        <f>IF(Outline!$C$14&gt;0,Gradesheet!#REF!,Gradesheet!#REF!)</f>
        <v>#REF!</v>
      </c>
      <c r="H593" s="139" t="e">
        <f t="shared" si="10"/>
        <v>#REF!</v>
      </c>
    </row>
    <row r="594" spans="2:8" hidden="1" x14ac:dyDescent="0.25">
      <c r="B594" s="90" t="e">
        <f>Gradesheet!#REF!</f>
        <v>#REF!</v>
      </c>
      <c r="C594" s="91" t="e">
        <f>(Gradesheet!#REF!)</f>
        <v>#REF!</v>
      </c>
      <c r="D594" s="92" t="e">
        <f>IF(Outline!$C$14&gt;0,Gradesheet!#REF!,Gradesheet!#REF!)</f>
        <v>#REF!</v>
      </c>
      <c r="E594" s="138" t="e">
        <f>IF(Outline!$C$14&gt;0,Gradesheet!#REF!,Gradesheet!#REF!)</f>
        <v>#REF!</v>
      </c>
      <c r="F594" s="138" t="e">
        <f>IF(Outline!$C$14&gt;0,Gradesheet!#REF!,"NA")</f>
        <v>#REF!</v>
      </c>
      <c r="G594" s="138" t="e">
        <f>IF(Outline!$C$14&gt;0,Gradesheet!#REF!,Gradesheet!#REF!)</f>
        <v>#REF!</v>
      </c>
      <c r="H594" s="139" t="e">
        <f t="shared" si="10"/>
        <v>#REF!</v>
      </c>
    </row>
    <row r="595" spans="2:8" hidden="1" x14ac:dyDescent="0.25">
      <c r="B595" s="90" t="e">
        <f>Gradesheet!#REF!</f>
        <v>#REF!</v>
      </c>
      <c r="C595" s="91" t="e">
        <f>(Gradesheet!#REF!)</f>
        <v>#REF!</v>
      </c>
      <c r="D595" s="92" t="e">
        <f>IF(Outline!$C$14&gt;0,Gradesheet!#REF!,Gradesheet!#REF!)</f>
        <v>#REF!</v>
      </c>
      <c r="E595" s="138" t="e">
        <f>IF(Outline!$C$14&gt;0,Gradesheet!#REF!,Gradesheet!#REF!)</f>
        <v>#REF!</v>
      </c>
      <c r="F595" s="138" t="e">
        <f>IF(Outline!$C$14&gt;0,Gradesheet!#REF!,"NA")</f>
        <v>#REF!</v>
      </c>
      <c r="G595" s="138" t="e">
        <f>IF(Outline!$C$14&gt;0,Gradesheet!#REF!,Gradesheet!#REF!)</f>
        <v>#REF!</v>
      </c>
      <c r="H595" s="139" t="e">
        <f t="shared" si="10"/>
        <v>#REF!</v>
      </c>
    </row>
    <row r="596" spans="2:8" hidden="1" x14ac:dyDescent="0.25">
      <c r="B596" s="90" t="e">
        <f>Gradesheet!#REF!</f>
        <v>#REF!</v>
      </c>
      <c r="C596" s="91" t="e">
        <f>(Gradesheet!#REF!)</f>
        <v>#REF!</v>
      </c>
      <c r="D596" s="92" t="e">
        <f>IF(Outline!$C$14&gt;0,Gradesheet!#REF!,Gradesheet!#REF!)</f>
        <v>#REF!</v>
      </c>
      <c r="E596" s="138" t="e">
        <f>IF(Outline!$C$14&gt;0,Gradesheet!#REF!,Gradesheet!#REF!)</f>
        <v>#REF!</v>
      </c>
      <c r="F596" s="138" t="e">
        <f>IF(Outline!$C$14&gt;0,Gradesheet!#REF!,"NA")</f>
        <v>#REF!</v>
      </c>
      <c r="G596" s="138" t="e">
        <f>IF(Outline!$C$14&gt;0,Gradesheet!#REF!,Gradesheet!#REF!)</f>
        <v>#REF!</v>
      </c>
      <c r="H596" s="139" t="e">
        <f t="shared" si="10"/>
        <v>#REF!</v>
      </c>
    </row>
    <row r="597" spans="2:8" hidden="1" x14ac:dyDescent="0.25">
      <c r="B597" s="90" t="e">
        <f>Gradesheet!#REF!</f>
        <v>#REF!</v>
      </c>
      <c r="C597" s="91" t="e">
        <f>(Gradesheet!#REF!)</f>
        <v>#REF!</v>
      </c>
      <c r="D597" s="92" t="e">
        <f>IF(Outline!$C$14&gt;0,Gradesheet!#REF!,Gradesheet!#REF!)</f>
        <v>#REF!</v>
      </c>
      <c r="E597" s="138" t="e">
        <f>IF(Outline!$C$14&gt;0,Gradesheet!#REF!,Gradesheet!#REF!)</f>
        <v>#REF!</v>
      </c>
      <c r="F597" s="138" t="e">
        <f>IF(Outline!$C$14&gt;0,Gradesheet!#REF!,"NA")</f>
        <v>#REF!</v>
      </c>
      <c r="G597" s="138" t="e">
        <f>IF(Outline!$C$14&gt;0,Gradesheet!#REF!,Gradesheet!#REF!)</f>
        <v>#REF!</v>
      </c>
      <c r="H597" s="139" t="e">
        <f t="shared" si="10"/>
        <v>#REF!</v>
      </c>
    </row>
    <row r="598" spans="2:8" hidden="1" x14ac:dyDescent="0.25">
      <c r="B598" s="90" t="e">
        <f>Gradesheet!#REF!</f>
        <v>#REF!</v>
      </c>
      <c r="C598" s="91" t="e">
        <f>(Gradesheet!#REF!)</f>
        <v>#REF!</v>
      </c>
      <c r="D598" s="92" t="e">
        <f>IF(Outline!$C$14&gt;0,Gradesheet!#REF!,Gradesheet!#REF!)</f>
        <v>#REF!</v>
      </c>
      <c r="E598" s="138" t="e">
        <f>IF(Outline!$C$14&gt;0,Gradesheet!#REF!,Gradesheet!#REF!)</f>
        <v>#REF!</v>
      </c>
      <c r="F598" s="138" t="e">
        <f>IF(Outline!$C$14&gt;0,Gradesheet!#REF!,"NA")</f>
        <v>#REF!</v>
      </c>
      <c r="G598" s="138" t="e">
        <f>IF(Outline!$C$14&gt;0,Gradesheet!#REF!,Gradesheet!#REF!)</f>
        <v>#REF!</v>
      </c>
      <c r="H598" s="139" t="e">
        <f t="shared" si="10"/>
        <v>#REF!</v>
      </c>
    </row>
    <row r="599" spans="2:8" hidden="1" x14ac:dyDescent="0.25">
      <c r="B599" s="90" t="e">
        <f>Gradesheet!#REF!</f>
        <v>#REF!</v>
      </c>
      <c r="C599" s="91" t="e">
        <f>(Gradesheet!#REF!)</f>
        <v>#REF!</v>
      </c>
      <c r="D599" s="92" t="e">
        <f>IF(Outline!$C$14&gt;0,Gradesheet!#REF!,Gradesheet!#REF!)</f>
        <v>#REF!</v>
      </c>
      <c r="E599" s="138" t="e">
        <f>IF(Outline!$C$14&gt;0,Gradesheet!#REF!,Gradesheet!#REF!)</f>
        <v>#REF!</v>
      </c>
      <c r="F599" s="138" t="e">
        <f>IF(Outline!$C$14&gt;0,Gradesheet!#REF!,"NA")</f>
        <v>#REF!</v>
      </c>
      <c r="G599" s="138" t="e">
        <f>IF(Outline!$C$14&gt;0,Gradesheet!#REF!,Gradesheet!#REF!)</f>
        <v>#REF!</v>
      </c>
      <c r="H599" s="139" t="e">
        <f t="shared" si="10"/>
        <v>#REF!</v>
      </c>
    </row>
    <row r="600" spans="2:8" hidden="1" x14ac:dyDescent="0.25">
      <c r="B600" s="90" t="e">
        <f>Gradesheet!#REF!</f>
        <v>#REF!</v>
      </c>
      <c r="C600" s="91" t="e">
        <f>(Gradesheet!#REF!)</f>
        <v>#REF!</v>
      </c>
      <c r="D600" s="92" t="e">
        <f>IF(Outline!$C$14&gt;0,Gradesheet!#REF!,Gradesheet!#REF!)</f>
        <v>#REF!</v>
      </c>
      <c r="E600" s="138" t="e">
        <f>IF(Outline!$C$14&gt;0,Gradesheet!#REF!,Gradesheet!#REF!)</f>
        <v>#REF!</v>
      </c>
      <c r="F600" s="138" t="e">
        <f>IF(Outline!$C$14&gt;0,Gradesheet!#REF!,"NA")</f>
        <v>#REF!</v>
      </c>
      <c r="G600" s="138" t="e">
        <f>IF(Outline!$C$14&gt;0,Gradesheet!#REF!,Gradesheet!#REF!)</f>
        <v>#REF!</v>
      </c>
      <c r="H600" s="139" t="e">
        <f t="shared" si="10"/>
        <v>#REF!</v>
      </c>
    </row>
    <row r="601" spans="2:8" hidden="1" x14ac:dyDescent="0.25">
      <c r="B601" s="90" t="e">
        <f>Gradesheet!#REF!</f>
        <v>#REF!</v>
      </c>
      <c r="C601" s="91" t="e">
        <f>(Gradesheet!#REF!)</f>
        <v>#REF!</v>
      </c>
      <c r="D601" s="92" t="e">
        <f>IF(Outline!$C$14&gt;0,Gradesheet!#REF!,Gradesheet!#REF!)</f>
        <v>#REF!</v>
      </c>
      <c r="E601" s="138" t="e">
        <f>IF(Outline!$C$14&gt;0,Gradesheet!#REF!,Gradesheet!#REF!)</f>
        <v>#REF!</v>
      </c>
      <c r="F601" s="138" t="e">
        <f>IF(Outline!$C$14&gt;0,Gradesheet!#REF!,"NA")</f>
        <v>#REF!</v>
      </c>
      <c r="G601" s="138" t="e">
        <f>IF(Outline!$C$14&gt;0,Gradesheet!#REF!,Gradesheet!#REF!)</f>
        <v>#REF!</v>
      </c>
      <c r="H601" s="139" t="e">
        <f t="shared" si="10"/>
        <v>#REF!</v>
      </c>
    </row>
    <row r="602" spans="2:8" hidden="1" x14ac:dyDescent="0.25">
      <c r="B602" s="90" t="e">
        <f>Gradesheet!#REF!</f>
        <v>#REF!</v>
      </c>
      <c r="C602" s="91" t="e">
        <f>(Gradesheet!#REF!)</f>
        <v>#REF!</v>
      </c>
      <c r="D602" s="92" t="e">
        <f>IF(Outline!$C$14&gt;0,Gradesheet!#REF!,Gradesheet!#REF!)</f>
        <v>#REF!</v>
      </c>
      <c r="E602" s="138" t="e">
        <f>IF(Outline!$C$14&gt;0,Gradesheet!#REF!,Gradesheet!#REF!)</f>
        <v>#REF!</v>
      </c>
      <c r="F602" s="138" t="e">
        <f>IF(Outline!$C$14&gt;0,Gradesheet!#REF!,"NA")</f>
        <v>#REF!</v>
      </c>
      <c r="G602" s="138" t="e">
        <f>IF(Outline!$C$14&gt;0,Gradesheet!#REF!,Gradesheet!#REF!)</f>
        <v>#REF!</v>
      </c>
      <c r="H602" s="139" t="e">
        <f t="shared" si="10"/>
        <v>#REF!</v>
      </c>
    </row>
    <row r="603" spans="2:8" hidden="1" x14ac:dyDescent="0.25">
      <c r="B603" s="90" t="e">
        <f>Gradesheet!#REF!</f>
        <v>#REF!</v>
      </c>
      <c r="C603" s="91" t="e">
        <f>(Gradesheet!#REF!)</f>
        <v>#REF!</v>
      </c>
      <c r="D603" s="92" t="e">
        <f>IF(Outline!$C$14&gt;0,Gradesheet!#REF!,Gradesheet!#REF!)</f>
        <v>#REF!</v>
      </c>
      <c r="E603" s="138" t="e">
        <f>IF(Outline!$C$14&gt;0,Gradesheet!#REF!,Gradesheet!#REF!)</f>
        <v>#REF!</v>
      </c>
      <c r="F603" s="138" t="e">
        <f>IF(Outline!$C$14&gt;0,Gradesheet!#REF!,"NA")</f>
        <v>#REF!</v>
      </c>
      <c r="G603" s="138" t="e">
        <f>IF(Outline!$C$14&gt;0,Gradesheet!#REF!,Gradesheet!#REF!)</f>
        <v>#REF!</v>
      </c>
      <c r="H603" s="139" t="e">
        <f t="shared" si="10"/>
        <v>#REF!</v>
      </c>
    </row>
    <row r="604" spans="2:8" hidden="1" x14ac:dyDescent="0.25">
      <c r="B604" s="90" t="e">
        <f>Gradesheet!#REF!</f>
        <v>#REF!</v>
      </c>
      <c r="C604" s="91" t="e">
        <f>(Gradesheet!#REF!)</f>
        <v>#REF!</v>
      </c>
      <c r="D604" s="92" t="e">
        <f>IF(Outline!$C$14&gt;0,Gradesheet!#REF!,Gradesheet!#REF!)</f>
        <v>#REF!</v>
      </c>
      <c r="E604" s="138" t="e">
        <f>IF(Outline!$C$14&gt;0,Gradesheet!#REF!,Gradesheet!#REF!)</f>
        <v>#REF!</v>
      </c>
      <c r="F604" s="138" t="e">
        <f>IF(Outline!$C$14&gt;0,Gradesheet!#REF!,"NA")</f>
        <v>#REF!</v>
      </c>
      <c r="G604" s="138" t="e">
        <f>IF(Outline!$C$14&gt;0,Gradesheet!#REF!,Gradesheet!#REF!)</f>
        <v>#REF!</v>
      </c>
      <c r="H604" s="139" t="e">
        <f t="shared" si="10"/>
        <v>#REF!</v>
      </c>
    </row>
    <row r="605" spans="2:8" hidden="1" x14ac:dyDescent="0.25">
      <c r="B605" s="90" t="e">
        <f>Gradesheet!#REF!</f>
        <v>#REF!</v>
      </c>
      <c r="C605" s="91" t="e">
        <f>(Gradesheet!#REF!)</f>
        <v>#REF!</v>
      </c>
      <c r="D605" s="92" t="e">
        <f>IF(Outline!$C$14&gt;0,Gradesheet!#REF!,Gradesheet!#REF!)</f>
        <v>#REF!</v>
      </c>
      <c r="E605" s="138" t="e">
        <f>IF(Outline!$C$14&gt;0,Gradesheet!#REF!,Gradesheet!#REF!)</f>
        <v>#REF!</v>
      </c>
      <c r="F605" s="138" t="e">
        <f>IF(Outline!$C$14&gt;0,Gradesheet!#REF!,"NA")</f>
        <v>#REF!</v>
      </c>
      <c r="G605" s="138" t="e">
        <f>IF(Outline!$C$14&gt;0,Gradesheet!#REF!,Gradesheet!#REF!)</f>
        <v>#REF!</v>
      </c>
      <c r="H605" s="139" t="e">
        <f t="shared" si="10"/>
        <v>#REF!</v>
      </c>
    </row>
    <row r="606" spans="2:8" hidden="1" x14ac:dyDescent="0.25">
      <c r="B606" s="90" t="e">
        <f>Gradesheet!#REF!</f>
        <v>#REF!</v>
      </c>
      <c r="C606" s="91" t="e">
        <f>(Gradesheet!#REF!)</f>
        <v>#REF!</v>
      </c>
      <c r="D606" s="92" t="e">
        <f>IF(Outline!$C$14&gt;0,Gradesheet!#REF!,Gradesheet!#REF!)</f>
        <v>#REF!</v>
      </c>
      <c r="E606" s="138" t="e">
        <f>IF(Outline!$C$14&gt;0,Gradesheet!#REF!,Gradesheet!#REF!)</f>
        <v>#REF!</v>
      </c>
      <c r="F606" s="138" t="e">
        <f>IF(Outline!$C$14&gt;0,Gradesheet!#REF!,"NA")</f>
        <v>#REF!</v>
      </c>
      <c r="G606" s="138" t="e">
        <f>IF(Outline!$C$14&gt;0,Gradesheet!#REF!,Gradesheet!#REF!)</f>
        <v>#REF!</v>
      </c>
      <c r="H606" s="139" t="e">
        <f t="shared" si="10"/>
        <v>#REF!</v>
      </c>
    </row>
    <row r="607" spans="2:8" hidden="1" x14ac:dyDescent="0.25">
      <c r="B607" s="90" t="e">
        <f>Gradesheet!#REF!</f>
        <v>#REF!</v>
      </c>
      <c r="C607" s="91" t="e">
        <f>(Gradesheet!#REF!)</f>
        <v>#REF!</v>
      </c>
      <c r="D607" s="92" t="e">
        <f>IF(Outline!$C$14&gt;0,Gradesheet!#REF!,Gradesheet!#REF!)</f>
        <v>#REF!</v>
      </c>
      <c r="E607" s="138" t="e">
        <f>IF(Outline!$C$14&gt;0,Gradesheet!#REF!,Gradesheet!#REF!)</f>
        <v>#REF!</v>
      </c>
      <c r="F607" s="138" t="e">
        <f>IF(Outline!$C$14&gt;0,Gradesheet!#REF!,"NA")</f>
        <v>#REF!</v>
      </c>
      <c r="G607" s="138" t="e">
        <f>IF(Outline!$C$14&gt;0,Gradesheet!#REF!,Gradesheet!#REF!)</f>
        <v>#REF!</v>
      </c>
      <c r="H607" s="139" t="e">
        <f t="shared" si="10"/>
        <v>#REF!</v>
      </c>
    </row>
    <row r="608" spans="2:8" hidden="1" x14ac:dyDescent="0.25">
      <c r="B608" s="90" t="e">
        <f>Gradesheet!#REF!</f>
        <v>#REF!</v>
      </c>
      <c r="C608" s="91" t="e">
        <f>(Gradesheet!#REF!)</f>
        <v>#REF!</v>
      </c>
      <c r="D608" s="92" t="e">
        <f>IF(Outline!$C$14&gt;0,Gradesheet!#REF!,Gradesheet!#REF!)</f>
        <v>#REF!</v>
      </c>
      <c r="E608" s="138" t="e">
        <f>IF(Outline!$C$14&gt;0,Gradesheet!#REF!,Gradesheet!#REF!)</f>
        <v>#REF!</v>
      </c>
      <c r="F608" s="138" t="e">
        <f>IF(Outline!$C$14&gt;0,Gradesheet!#REF!,"NA")</f>
        <v>#REF!</v>
      </c>
      <c r="G608" s="138" t="e">
        <f>IF(Outline!$C$14&gt;0,Gradesheet!#REF!,Gradesheet!#REF!)</f>
        <v>#REF!</v>
      </c>
      <c r="H608" s="139" t="e">
        <f t="shared" si="10"/>
        <v>#REF!</v>
      </c>
    </row>
    <row r="609" spans="2:8" hidden="1" x14ac:dyDescent="0.25">
      <c r="B609" s="90" t="e">
        <f>Gradesheet!#REF!</f>
        <v>#REF!</v>
      </c>
      <c r="C609" s="91" t="e">
        <f>(Gradesheet!#REF!)</f>
        <v>#REF!</v>
      </c>
      <c r="D609" s="92" t="e">
        <f>IF(Outline!$C$14&gt;0,Gradesheet!#REF!,Gradesheet!#REF!)</f>
        <v>#REF!</v>
      </c>
      <c r="E609" s="138" t="e">
        <f>IF(Outline!$C$14&gt;0,Gradesheet!#REF!,Gradesheet!#REF!)</f>
        <v>#REF!</v>
      </c>
      <c r="F609" s="138" t="e">
        <f>IF(Outline!$C$14&gt;0,Gradesheet!#REF!,"NA")</f>
        <v>#REF!</v>
      </c>
      <c r="G609" s="138" t="e">
        <f>IF(Outline!$C$14&gt;0,Gradesheet!#REF!,Gradesheet!#REF!)</f>
        <v>#REF!</v>
      </c>
      <c r="H609" s="139" t="e">
        <f t="shared" si="10"/>
        <v>#REF!</v>
      </c>
    </row>
    <row r="610" spans="2:8" hidden="1" x14ac:dyDescent="0.25">
      <c r="B610" s="90" t="e">
        <f>Gradesheet!#REF!</f>
        <v>#REF!</v>
      </c>
      <c r="C610" s="91" t="e">
        <f>(Gradesheet!#REF!)</f>
        <v>#REF!</v>
      </c>
      <c r="D610" s="92" t="e">
        <f>IF(Outline!$C$14&gt;0,Gradesheet!#REF!,Gradesheet!#REF!)</f>
        <v>#REF!</v>
      </c>
      <c r="E610" s="138" t="e">
        <f>IF(Outline!$C$14&gt;0,Gradesheet!#REF!,Gradesheet!#REF!)</f>
        <v>#REF!</v>
      </c>
      <c r="F610" s="138" t="e">
        <f>IF(Outline!$C$14&gt;0,Gradesheet!#REF!,"NA")</f>
        <v>#REF!</v>
      </c>
      <c r="G610" s="138" t="e">
        <f>IF(Outline!$C$14&gt;0,Gradesheet!#REF!,Gradesheet!#REF!)</f>
        <v>#REF!</v>
      </c>
      <c r="H610" s="139" t="e">
        <f t="shared" si="10"/>
        <v>#REF!</v>
      </c>
    </row>
    <row r="611" spans="2:8" hidden="1" x14ac:dyDescent="0.25">
      <c r="B611" s="90" t="e">
        <f>Gradesheet!#REF!</f>
        <v>#REF!</v>
      </c>
      <c r="C611" s="91" t="e">
        <f>(Gradesheet!#REF!)</f>
        <v>#REF!</v>
      </c>
      <c r="D611" s="92" t="e">
        <f>IF(Outline!$C$14&gt;0,Gradesheet!#REF!,Gradesheet!#REF!)</f>
        <v>#REF!</v>
      </c>
      <c r="E611" s="138" t="e">
        <f>IF(Outline!$C$14&gt;0,Gradesheet!#REF!,Gradesheet!#REF!)</f>
        <v>#REF!</v>
      </c>
      <c r="F611" s="138" t="e">
        <f>IF(Outline!$C$14&gt;0,Gradesheet!#REF!,"NA")</f>
        <v>#REF!</v>
      </c>
      <c r="G611" s="138" t="e">
        <f>IF(Outline!$C$14&gt;0,Gradesheet!#REF!,Gradesheet!#REF!)</f>
        <v>#REF!</v>
      </c>
      <c r="H611" s="139" t="e">
        <f t="shared" si="10"/>
        <v>#REF!</v>
      </c>
    </row>
    <row r="612" spans="2:8" hidden="1" x14ac:dyDescent="0.25">
      <c r="B612" s="90" t="e">
        <f>Gradesheet!#REF!</f>
        <v>#REF!</v>
      </c>
      <c r="C612" s="91" t="e">
        <f>(Gradesheet!#REF!)</f>
        <v>#REF!</v>
      </c>
      <c r="D612" s="92" t="e">
        <f>IF(Outline!$C$14&gt;0,Gradesheet!#REF!,Gradesheet!#REF!)</f>
        <v>#REF!</v>
      </c>
      <c r="E612" s="138" t="e">
        <f>IF(Outline!$C$14&gt;0,Gradesheet!#REF!,Gradesheet!#REF!)</f>
        <v>#REF!</v>
      </c>
      <c r="F612" s="138" t="e">
        <f>IF(Outline!$C$14&gt;0,Gradesheet!#REF!,"NA")</f>
        <v>#REF!</v>
      </c>
      <c r="G612" s="138" t="e">
        <f>IF(Outline!$C$14&gt;0,Gradesheet!#REF!,Gradesheet!#REF!)</f>
        <v>#REF!</v>
      </c>
      <c r="H612" s="139" t="e">
        <f t="shared" si="10"/>
        <v>#REF!</v>
      </c>
    </row>
    <row r="613" spans="2:8" hidden="1" x14ac:dyDescent="0.25">
      <c r="B613" s="90" t="e">
        <f>Gradesheet!#REF!</f>
        <v>#REF!</v>
      </c>
      <c r="C613" s="91" t="e">
        <f>(Gradesheet!#REF!)</f>
        <v>#REF!</v>
      </c>
      <c r="D613" s="92" t="e">
        <f>IF(Outline!$C$14&gt;0,Gradesheet!#REF!,Gradesheet!#REF!)</f>
        <v>#REF!</v>
      </c>
      <c r="E613" s="138" t="e">
        <f>IF(Outline!$C$14&gt;0,Gradesheet!#REF!,Gradesheet!#REF!)</f>
        <v>#REF!</v>
      </c>
      <c r="F613" s="138" t="e">
        <f>IF(Outline!$C$14&gt;0,Gradesheet!#REF!,"NA")</f>
        <v>#REF!</v>
      </c>
      <c r="G613" s="138" t="e">
        <f>IF(Outline!$C$14&gt;0,Gradesheet!#REF!,Gradesheet!#REF!)</f>
        <v>#REF!</v>
      </c>
      <c r="H613" s="139" t="e">
        <f t="shared" si="10"/>
        <v>#REF!</v>
      </c>
    </row>
    <row r="614" spans="2:8" hidden="1" x14ac:dyDescent="0.25">
      <c r="B614" s="90" t="e">
        <f>Gradesheet!#REF!</f>
        <v>#REF!</v>
      </c>
      <c r="C614" s="91" t="e">
        <f>(Gradesheet!#REF!)</f>
        <v>#REF!</v>
      </c>
      <c r="D614" s="92" t="e">
        <f>IF(Outline!$C$14&gt;0,Gradesheet!#REF!,Gradesheet!#REF!)</f>
        <v>#REF!</v>
      </c>
      <c r="E614" s="138" t="e">
        <f>IF(Outline!$C$14&gt;0,Gradesheet!#REF!,Gradesheet!#REF!)</f>
        <v>#REF!</v>
      </c>
      <c r="F614" s="138" t="e">
        <f>IF(Outline!$C$14&gt;0,Gradesheet!#REF!,"NA")</f>
        <v>#REF!</v>
      </c>
      <c r="G614" s="138" t="e">
        <f>IF(Outline!$C$14&gt;0,Gradesheet!#REF!,Gradesheet!#REF!)</f>
        <v>#REF!</v>
      </c>
      <c r="H614" s="139" t="e">
        <f t="shared" si="10"/>
        <v>#REF!</v>
      </c>
    </row>
    <row r="615" spans="2:8" hidden="1" x14ac:dyDescent="0.25">
      <c r="B615" s="90" t="e">
        <f>Gradesheet!#REF!</f>
        <v>#REF!</v>
      </c>
      <c r="C615" s="91" t="e">
        <f>(Gradesheet!#REF!)</f>
        <v>#REF!</v>
      </c>
      <c r="D615" s="92" t="e">
        <f>IF(Outline!$C$14&gt;0,Gradesheet!#REF!,Gradesheet!#REF!)</f>
        <v>#REF!</v>
      </c>
      <c r="E615" s="138" t="e">
        <f>IF(Outline!$C$14&gt;0,Gradesheet!#REF!,Gradesheet!#REF!)</f>
        <v>#REF!</v>
      </c>
      <c r="F615" s="138" t="e">
        <f>IF(Outline!$C$14&gt;0,Gradesheet!#REF!,"NA")</f>
        <v>#REF!</v>
      </c>
      <c r="G615" s="138" t="e">
        <f>IF(Outline!$C$14&gt;0,Gradesheet!#REF!,Gradesheet!#REF!)</f>
        <v>#REF!</v>
      </c>
      <c r="H615" s="139" t="e">
        <f t="shared" si="10"/>
        <v>#REF!</v>
      </c>
    </row>
    <row r="616" spans="2:8" hidden="1" x14ac:dyDescent="0.25">
      <c r="B616" s="90" t="e">
        <f>Gradesheet!#REF!</f>
        <v>#REF!</v>
      </c>
      <c r="C616" s="91" t="e">
        <f>(Gradesheet!#REF!)</f>
        <v>#REF!</v>
      </c>
      <c r="D616" s="92" t="e">
        <f>IF(Outline!$C$14&gt;0,Gradesheet!#REF!,Gradesheet!#REF!)</f>
        <v>#REF!</v>
      </c>
      <c r="E616" s="138" t="e">
        <f>IF(Outline!$C$14&gt;0,Gradesheet!#REF!,Gradesheet!#REF!)</f>
        <v>#REF!</v>
      </c>
      <c r="F616" s="138" t="e">
        <f>IF(Outline!$C$14&gt;0,Gradesheet!#REF!,"NA")</f>
        <v>#REF!</v>
      </c>
      <c r="G616" s="138" t="e">
        <f>IF(Outline!$C$14&gt;0,Gradesheet!#REF!,Gradesheet!#REF!)</f>
        <v>#REF!</v>
      </c>
      <c r="H616" s="139" t="e">
        <f t="shared" si="10"/>
        <v>#REF!</v>
      </c>
    </row>
    <row r="617" spans="2:8" hidden="1" x14ac:dyDescent="0.25">
      <c r="B617" s="90" t="e">
        <f>Gradesheet!#REF!</f>
        <v>#REF!</v>
      </c>
      <c r="C617" s="91" t="e">
        <f>(Gradesheet!#REF!)</f>
        <v>#REF!</v>
      </c>
      <c r="D617" s="92" t="e">
        <f>IF(Outline!$C$14&gt;0,Gradesheet!#REF!,Gradesheet!#REF!)</f>
        <v>#REF!</v>
      </c>
      <c r="E617" s="138" t="e">
        <f>IF(Outline!$C$14&gt;0,Gradesheet!#REF!,Gradesheet!#REF!)</f>
        <v>#REF!</v>
      </c>
      <c r="F617" s="138" t="e">
        <f>IF(Outline!$C$14&gt;0,Gradesheet!#REF!,"NA")</f>
        <v>#REF!</v>
      </c>
      <c r="G617" s="138" t="e">
        <f>IF(Outline!$C$14&gt;0,Gradesheet!#REF!,Gradesheet!#REF!)</f>
        <v>#REF!</v>
      </c>
      <c r="H617" s="139" t="e">
        <f t="shared" si="10"/>
        <v>#REF!</v>
      </c>
    </row>
    <row r="618" spans="2:8" hidden="1" x14ac:dyDescent="0.25">
      <c r="B618" s="90" t="e">
        <f>Gradesheet!#REF!</f>
        <v>#REF!</v>
      </c>
      <c r="C618" s="91" t="e">
        <f>(Gradesheet!#REF!)</f>
        <v>#REF!</v>
      </c>
      <c r="D618" s="92" t="e">
        <f>IF(Outline!$C$14&gt;0,Gradesheet!#REF!,Gradesheet!#REF!)</f>
        <v>#REF!</v>
      </c>
      <c r="E618" s="138" t="e">
        <f>IF(Outline!$C$14&gt;0,Gradesheet!#REF!,Gradesheet!#REF!)</f>
        <v>#REF!</v>
      </c>
      <c r="F618" s="138" t="e">
        <f>IF(Outline!$C$14&gt;0,Gradesheet!#REF!,"NA")</f>
        <v>#REF!</v>
      </c>
      <c r="G618" s="138" t="e">
        <f>IF(Outline!$C$14&gt;0,Gradesheet!#REF!,Gradesheet!#REF!)</f>
        <v>#REF!</v>
      </c>
      <c r="H618" s="139" t="e">
        <f t="shared" si="10"/>
        <v>#REF!</v>
      </c>
    </row>
    <row r="619" spans="2:8" hidden="1" x14ac:dyDescent="0.25">
      <c r="B619" s="90" t="e">
        <f>Gradesheet!#REF!</f>
        <v>#REF!</v>
      </c>
      <c r="C619" s="91" t="e">
        <f>(Gradesheet!#REF!)</f>
        <v>#REF!</v>
      </c>
      <c r="D619" s="92" t="e">
        <f>IF(Outline!$C$14&gt;0,Gradesheet!#REF!,Gradesheet!#REF!)</f>
        <v>#REF!</v>
      </c>
      <c r="E619" s="138" t="e">
        <f>IF(Outline!$C$14&gt;0,Gradesheet!#REF!,Gradesheet!#REF!)</f>
        <v>#REF!</v>
      </c>
      <c r="F619" s="138" t="e">
        <f>IF(Outline!$C$14&gt;0,Gradesheet!#REF!,"NA")</f>
        <v>#REF!</v>
      </c>
      <c r="G619" s="138" t="e">
        <f>IF(Outline!$C$14&gt;0,Gradesheet!#REF!,Gradesheet!#REF!)</f>
        <v>#REF!</v>
      </c>
      <c r="H619" s="139" t="e">
        <f t="shared" si="10"/>
        <v>#REF!</v>
      </c>
    </row>
    <row r="620" spans="2:8" hidden="1" x14ac:dyDescent="0.25">
      <c r="B620" s="90" t="e">
        <f>Gradesheet!#REF!</f>
        <v>#REF!</v>
      </c>
      <c r="C620" s="91" t="e">
        <f>(Gradesheet!#REF!)</f>
        <v>#REF!</v>
      </c>
      <c r="D620" s="92" t="e">
        <f>IF(Outline!$C$14&gt;0,Gradesheet!#REF!,Gradesheet!#REF!)</f>
        <v>#REF!</v>
      </c>
      <c r="E620" s="138" t="e">
        <f>IF(Outline!$C$14&gt;0,Gradesheet!#REF!,Gradesheet!#REF!)</f>
        <v>#REF!</v>
      </c>
      <c r="F620" s="138" t="e">
        <f>IF(Outline!$C$14&gt;0,Gradesheet!#REF!,"NA")</f>
        <v>#REF!</v>
      </c>
      <c r="G620" s="138" t="e">
        <f>IF(Outline!$C$14&gt;0,Gradesheet!#REF!,Gradesheet!#REF!)</f>
        <v>#REF!</v>
      </c>
      <c r="H620" s="139" t="e">
        <f t="shared" si="10"/>
        <v>#REF!</v>
      </c>
    </row>
    <row r="621" spans="2:8" hidden="1" x14ac:dyDescent="0.25">
      <c r="B621" s="90" t="e">
        <f>Gradesheet!#REF!</f>
        <v>#REF!</v>
      </c>
      <c r="C621" s="91" t="e">
        <f>(Gradesheet!#REF!)</f>
        <v>#REF!</v>
      </c>
      <c r="D621" s="92" t="e">
        <f>IF(Outline!$C$14&gt;0,Gradesheet!#REF!,Gradesheet!#REF!)</f>
        <v>#REF!</v>
      </c>
      <c r="E621" s="138" t="e">
        <f>IF(Outline!$C$14&gt;0,Gradesheet!#REF!,Gradesheet!#REF!)</f>
        <v>#REF!</v>
      </c>
      <c r="F621" s="138" t="e">
        <f>IF(Outline!$C$14&gt;0,Gradesheet!#REF!,"NA")</f>
        <v>#REF!</v>
      </c>
      <c r="G621" s="138" t="e">
        <f>IF(Outline!$C$14&gt;0,Gradesheet!#REF!,Gradesheet!#REF!)</f>
        <v>#REF!</v>
      </c>
      <c r="H621" s="139" t="e">
        <f t="shared" si="10"/>
        <v>#REF!</v>
      </c>
    </row>
    <row r="622" spans="2:8" hidden="1" x14ac:dyDescent="0.25">
      <c r="B622" s="90" t="e">
        <f>Gradesheet!#REF!</f>
        <v>#REF!</v>
      </c>
      <c r="C622" s="91" t="e">
        <f>(Gradesheet!#REF!)</f>
        <v>#REF!</v>
      </c>
      <c r="D622" s="92" t="e">
        <f>IF(Outline!$C$14&gt;0,Gradesheet!#REF!,Gradesheet!#REF!)</f>
        <v>#REF!</v>
      </c>
      <c r="E622" s="138" t="e">
        <f>IF(Outline!$C$14&gt;0,Gradesheet!#REF!,Gradesheet!#REF!)</f>
        <v>#REF!</v>
      </c>
      <c r="F622" s="138" t="e">
        <f>IF(Outline!$C$14&gt;0,Gradesheet!#REF!,"NA")</f>
        <v>#REF!</v>
      </c>
      <c r="G622" s="138" t="e">
        <f>IF(Outline!$C$14&gt;0,Gradesheet!#REF!,Gradesheet!#REF!)</f>
        <v>#REF!</v>
      </c>
      <c r="H622" s="139" t="e">
        <f t="shared" si="10"/>
        <v>#REF!</v>
      </c>
    </row>
    <row r="623" spans="2:8" hidden="1" x14ac:dyDescent="0.25">
      <c r="B623" s="90" t="e">
        <f>Gradesheet!#REF!</f>
        <v>#REF!</v>
      </c>
      <c r="C623" s="91" t="e">
        <f>(Gradesheet!#REF!)</f>
        <v>#REF!</v>
      </c>
      <c r="D623" s="92" t="e">
        <f>IF(Outline!$C$14&gt;0,Gradesheet!#REF!,Gradesheet!#REF!)</f>
        <v>#REF!</v>
      </c>
      <c r="E623" s="138" t="e">
        <f>IF(Outline!$C$14&gt;0,Gradesheet!#REF!,Gradesheet!#REF!)</f>
        <v>#REF!</v>
      </c>
      <c r="F623" s="138" t="e">
        <f>IF(Outline!$C$14&gt;0,Gradesheet!#REF!,"NA")</f>
        <v>#REF!</v>
      </c>
      <c r="G623" s="138" t="e">
        <f>IF(Outline!$C$14&gt;0,Gradesheet!#REF!,Gradesheet!#REF!)</f>
        <v>#REF!</v>
      </c>
      <c r="H623" s="139" t="e">
        <f t="shared" si="10"/>
        <v>#REF!</v>
      </c>
    </row>
    <row r="624" spans="2:8" hidden="1" x14ac:dyDescent="0.25">
      <c r="B624" s="90" t="e">
        <f>Gradesheet!#REF!</f>
        <v>#REF!</v>
      </c>
      <c r="C624" s="91" t="e">
        <f>(Gradesheet!#REF!)</f>
        <v>#REF!</v>
      </c>
      <c r="D624" s="92" t="e">
        <f>IF(Outline!$C$14&gt;0,Gradesheet!#REF!,Gradesheet!#REF!)</f>
        <v>#REF!</v>
      </c>
      <c r="E624" s="138" t="e">
        <f>IF(Outline!$C$14&gt;0,Gradesheet!#REF!,Gradesheet!#REF!)</f>
        <v>#REF!</v>
      </c>
      <c r="F624" s="138" t="e">
        <f>IF(Outline!$C$14&gt;0,Gradesheet!#REF!,"NA")</f>
        <v>#REF!</v>
      </c>
      <c r="G624" s="138" t="e">
        <f>IF(Outline!$C$14&gt;0,Gradesheet!#REF!,Gradesheet!#REF!)</f>
        <v>#REF!</v>
      </c>
      <c r="H624" s="139" t="e">
        <f t="shared" si="10"/>
        <v>#REF!</v>
      </c>
    </row>
    <row r="625" spans="2:8" hidden="1" x14ac:dyDescent="0.25">
      <c r="B625" s="90" t="e">
        <f>Gradesheet!#REF!</f>
        <v>#REF!</v>
      </c>
      <c r="C625" s="91" t="e">
        <f>(Gradesheet!#REF!)</f>
        <v>#REF!</v>
      </c>
      <c r="D625" s="92" t="e">
        <f>IF(Outline!$C$14&gt;0,Gradesheet!#REF!,Gradesheet!#REF!)</f>
        <v>#REF!</v>
      </c>
      <c r="E625" s="138" t="e">
        <f>IF(Outline!$C$14&gt;0,Gradesheet!#REF!,Gradesheet!#REF!)</f>
        <v>#REF!</v>
      </c>
      <c r="F625" s="138" t="e">
        <f>IF(Outline!$C$14&gt;0,Gradesheet!#REF!,"NA")</f>
        <v>#REF!</v>
      </c>
      <c r="G625" s="138" t="e">
        <f>IF(Outline!$C$14&gt;0,Gradesheet!#REF!,Gradesheet!#REF!)</f>
        <v>#REF!</v>
      </c>
      <c r="H625" s="139" t="e">
        <f t="shared" si="10"/>
        <v>#REF!</v>
      </c>
    </row>
    <row r="626" spans="2:8" hidden="1" x14ac:dyDescent="0.25">
      <c r="B626" s="90" t="e">
        <f>Gradesheet!#REF!</f>
        <v>#REF!</v>
      </c>
      <c r="C626" s="91" t="e">
        <f>(Gradesheet!#REF!)</f>
        <v>#REF!</v>
      </c>
      <c r="D626" s="92" t="e">
        <f>IF(Outline!$C$14&gt;0,Gradesheet!#REF!,Gradesheet!#REF!)</f>
        <v>#REF!</v>
      </c>
      <c r="E626" s="138" t="e">
        <f>IF(Outline!$C$14&gt;0,Gradesheet!#REF!,Gradesheet!#REF!)</f>
        <v>#REF!</v>
      </c>
      <c r="F626" s="138" t="e">
        <f>IF(Outline!$C$14&gt;0,Gradesheet!#REF!,"NA")</f>
        <v>#REF!</v>
      </c>
      <c r="G626" s="138" t="e">
        <f>IF(Outline!$C$14&gt;0,Gradesheet!#REF!,Gradesheet!#REF!)</f>
        <v>#REF!</v>
      </c>
      <c r="H626" s="139" t="e">
        <f t="shared" si="10"/>
        <v>#REF!</v>
      </c>
    </row>
    <row r="627" spans="2:8" hidden="1" x14ac:dyDescent="0.25">
      <c r="B627" s="90" t="e">
        <f>Gradesheet!#REF!</f>
        <v>#REF!</v>
      </c>
      <c r="C627" s="91" t="e">
        <f>(Gradesheet!#REF!)</f>
        <v>#REF!</v>
      </c>
      <c r="D627" s="92" t="e">
        <f>IF(Outline!$C$14&gt;0,Gradesheet!#REF!,Gradesheet!#REF!)</f>
        <v>#REF!</v>
      </c>
      <c r="E627" s="138" t="e">
        <f>IF(Outline!$C$14&gt;0,Gradesheet!#REF!,Gradesheet!#REF!)</f>
        <v>#REF!</v>
      </c>
      <c r="F627" s="138" t="e">
        <f>IF(Outline!$C$14&gt;0,Gradesheet!#REF!,"NA")</f>
        <v>#REF!</v>
      </c>
      <c r="G627" s="138" t="e">
        <f>IF(Outline!$C$14&gt;0,Gradesheet!#REF!,Gradesheet!#REF!)</f>
        <v>#REF!</v>
      </c>
      <c r="H627" s="139" t="e">
        <f t="shared" si="10"/>
        <v>#REF!</v>
      </c>
    </row>
    <row r="628" spans="2:8" hidden="1" x14ac:dyDescent="0.25">
      <c r="B628" s="90" t="e">
        <f>Gradesheet!#REF!</f>
        <v>#REF!</v>
      </c>
      <c r="C628" s="91" t="e">
        <f>(Gradesheet!#REF!)</f>
        <v>#REF!</v>
      </c>
      <c r="D628" s="92" t="e">
        <f>IF(Outline!$C$14&gt;0,Gradesheet!#REF!,Gradesheet!#REF!)</f>
        <v>#REF!</v>
      </c>
      <c r="E628" s="138" t="e">
        <f>IF(Outline!$C$14&gt;0,Gradesheet!#REF!,Gradesheet!#REF!)</f>
        <v>#REF!</v>
      </c>
      <c r="F628" s="138" t="e">
        <f>IF(Outline!$C$14&gt;0,Gradesheet!#REF!,"NA")</f>
        <v>#REF!</v>
      </c>
      <c r="G628" s="138" t="e">
        <f>IF(Outline!$C$14&gt;0,Gradesheet!#REF!,Gradesheet!#REF!)</f>
        <v>#REF!</v>
      </c>
      <c r="H628" s="139" t="e">
        <f t="shared" si="10"/>
        <v>#REF!</v>
      </c>
    </row>
    <row r="629" spans="2:8" hidden="1" x14ac:dyDescent="0.25">
      <c r="B629" s="90" t="e">
        <f>Gradesheet!#REF!</f>
        <v>#REF!</v>
      </c>
      <c r="C629" s="91" t="e">
        <f>(Gradesheet!#REF!)</f>
        <v>#REF!</v>
      </c>
      <c r="D629" s="92" t="e">
        <f>IF(Outline!$C$14&gt;0,Gradesheet!#REF!,Gradesheet!#REF!)</f>
        <v>#REF!</v>
      </c>
      <c r="E629" s="138" t="e">
        <f>IF(Outline!$C$14&gt;0,Gradesheet!#REF!,Gradesheet!#REF!)</f>
        <v>#REF!</v>
      </c>
      <c r="F629" s="138" t="e">
        <f>IF(Outline!$C$14&gt;0,Gradesheet!#REF!,"NA")</f>
        <v>#REF!</v>
      </c>
      <c r="G629" s="138" t="e">
        <f>IF(Outline!$C$14&gt;0,Gradesheet!#REF!,Gradesheet!#REF!)</f>
        <v>#REF!</v>
      </c>
      <c r="H629" s="139" t="e">
        <f t="shared" si="10"/>
        <v>#REF!</v>
      </c>
    </row>
    <row r="630" spans="2:8" hidden="1" x14ac:dyDescent="0.25">
      <c r="B630" s="90" t="e">
        <f>Gradesheet!#REF!</f>
        <v>#REF!</v>
      </c>
      <c r="C630" s="91" t="e">
        <f>(Gradesheet!#REF!)</f>
        <v>#REF!</v>
      </c>
      <c r="D630" s="92" t="e">
        <f>IF(Outline!$C$14&gt;0,Gradesheet!#REF!,Gradesheet!#REF!)</f>
        <v>#REF!</v>
      </c>
      <c r="E630" s="138" t="e">
        <f>IF(Outline!$C$14&gt;0,Gradesheet!#REF!,Gradesheet!#REF!)</f>
        <v>#REF!</v>
      </c>
      <c r="F630" s="138" t="e">
        <f>IF(Outline!$C$14&gt;0,Gradesheet!#REF!,"NA")</f>
        <v>#REF!</v>
      </c>
      <c r="G630" s="138" t="e">
        <f>IF(Outline!$C$14&gt;0,Gradesheet!#REF!,Gradesheet!#REF!)</f>
        <v>#REF!</v>
      </c>
      <c r="H630" s="139" t="e">
        <f t="shared" si="10"/>
        <v>#REF!</v>
      </c>
    </row>
    <row r="631" spans="2:8" hidden="1" x14ac:dyDescent="0.25">
      <c r="B631" s="90" t="e">
        <f>Gradesheet!#REF!</f>
        <v>#REF!</v>
      </c>
      <c r="C631" s="91" t="e">
        <f>(Gradesheet!#REF!)</f>
        <v>#REF!</v>
      </c>
      <c r="D631" s="92" t="e">
        <f>IF(Outline!$C$14&gt;0,Gradesheet!#REF!,Gradesheet!#REF!)</f>
        <v>#REF!</v>
      </c>
      <c r="E631" s="138" t="e">
        <f>IF(Outline!$C$14&gt;0,Gradesheet!#REF!,Gradesheet!#REF!)</f>
        <v>#REF!</v>
      </c>
      <c r="F631" s="138" t="e">
        <f>IF(Outline!$C$14&gt;0,Gradesheet!#REF!,"NA")</f>
        <v>#REF!</v>
      </c>
      <c r="G631" s="138" t="e">
        <f>IF(Outline!$C$14&gt;0,Gradesheet!#REF!,Gradesheet!#REF!)</f>
        <v>#REF!</v>
      </c>
      <c r="H631" s="139" t="e">
        <f t="shared" si="10"/>
        <v>#REF!</v>
      </c>
    </row>
    <row r="632" spans="2:8" hidden="1" x14ac:dyDescent="0.25">
      <c r="B632" s="90" t="e">
        <f>Gradesheet!#REF!</f>
        <v>#REF!</v>
      </c>
      <c r="C632" s="91" t="e">
        <f>(Gradesheet!#REF!)</f>
        <v>#REF!</v>
      </c>
      <c r="D632" s="92" t="e">
        <f>IF(Outline!$C$14&gt;0,Gradesheet!#REF!,Gradesheet!#REF!)</f>
        <v>#REF!</v>
      </c>
      <c r="E632" s="138" t="e">
        <f>IF(Outline!$C$14&gt;0,Gradesheet!#REF!,Gradesheet!#REF!)</f>
        <v>#REF!</v>
      </c>
      <c r="F632" s="138" t="e">
        <f>IF(Outline!$C$14&gt;0,Gradesheet!#REF!,"NA")</f>
        <v>#REF!</v>
      </c>
      <c r="G632" s="138" t="e">
        <f>IF(Outline!$C$14&gt;0,Gradesheet!#REF!,Gradesheet!#REF!)</f>
        <v>#REF!</v>
      </c>
      <c r="H632" s="139" t="e">
        <f t="shared" si="10"/>
        <v>#REF!</v>
      </c>
    </row>
    <row r="633" spans="2:8" hidden="1" x14ac:dyDescent="0.25">
      <c r="B633" s="90" t="e">
        <f>Gradesheet!#REF!</f>
        <v>#REF!</v>
      </c>
      <c r="C633" s="91" t="e">
        <f>(Gradesheet!#REF!)</f>
        <v>#REF!</v>
      </c>
      <c r="D633" s="92" t="e">
        <f>IF(Outline!$C$14&gt;0,Gradesheet!#REF!,Gradesheet!#REF!)</f>
        <v>#REF!</v>
      </c>
      <c r="E633" s="138" t="e">
        <f>IF(Outline!$C$14&gt;0,Gradesheet!#REF!,Gradesheet!#REF!)</f>
        <v>#REF!</v>
      </c>
      <c r="F633" s="138" t="e">
        <f>IF(Outline!$C$14&gt;0,Gradesheet!#REF!,"NA")</f>
        <v>#REF!</v>
      </c>
      <c r="G633" s="138" t="e">
        <f>IF(Outline!$C$14&gt;0,Gradesheet!#REF!,Gradesheet!#REF!)</f>
        <v>#REF!</v>
      </c>
      <c r="H633" s="139" t="e">
        <f t="shared" si="10"/>
        <v>#REF!</v>
      </c>
    </row>
    <row r="634" spans="2:8" hidden="1" x14ac:dyDescent="0.25">
      <c r="B634" s="90" t="e">
        <f>Gradesheet!#REF!</f>
        <v>#REF!</v>
      </c>
      <c r="C634" s="91" t="e">
        <f>(Gradesheet!#REF!)</f>
        <v>#REF!</v>
      </c>
      <c r="D634" s="92" t="e">
        <f>IF(Outline!$C$14&gt;0,Gradesheet!#REF!,Gradesheet!#REF!)</f>
        <v>#REF!</v>
      </c>
      <c r="E634" s="138" t="e">
        <f>IF(Outline!$C$14&gt;0,Gradesheet!#REF!,Gradesheet!#REF!)</f>
        <v>#REF!</v>
      </c>
      <c r="F634" s="138" t="e">
        <f>IF(Outline!$C$14&gt;0,Gradesheet!#REF!,"NA")</f>
        <v>#REF!</v>
      </c>
      <c r="G634" s="138" t="e">
        <f>IF(Outline!$C$14&gt;0,Gradesheet!#REF!,Gradesheet!#REF!)</f>
        <v>#REF!</v>
      </c>
      <c r="H634" s="139" t="e">
        <f t="shared" si="10"/>
        <v>#REF!</v>
      </c>
    </row>
    <row r="635" spans="2:8" hidden="1" x14ac:dyDescent="0.25">
      <c r="B635" s="90" t="e">
        <f>Gradesheet!#REF!</f>
        <v>#REF!</v>
      </c>
      <c r="C635" s="91" t="e">
        <f>(Gradesheet!#REF!)</f>
        <v>#REF!</v>
      </c>
      <c r="D635" s="92" t="e">
        <f>IF(Outline!$C$14&gt;0,Gradesheet!#REF!,Gradesheet!#REF!)</f>
        <v>#REF!</v>
      </c>
      <c r="E635" s="138" t="e">
        <f>IF(Outline!$C$14&gt;0,Gradesheet!#REF!,Gradesheet!#REF!)</f>
        <v>#REF!</v>
      </c>
      <c r="F635" s="138" t="e">
        <f>IF(Outline!$C$14&gt;0,Gradesheet!#REF!,"NA")</f>
        <v>#REF!</v>
      </c>
      <c r="G635" s="138" t="e">
        <f>IF(Outline!$C$14&gt;0,Gradesheet!#REF!,Gradesheet!#REF!)</f>
        <v>#REF!</v>
      </c>
      <c r="H635" s="139" t="e">
        <f t="shared" si="10"/>
        <v>#REF!</v>
      </c>
    </row>
    <row r="636" spans="2:8" hidden="1" x14ac:dyDescent="0.25">
      <c r="B636" s="90" t="e">
        <f>Gradesheet!#REF!</f>
        <v>#REF!</v>
      </c>
      <c r="C636" s="91" t="e">
        <f>(Gradesheet!#REF!)</f>
        <v>#REF!</v>
      </c>
      <c r="D636" s="92" t="e">
        <f>IF(Outline!$C$14&gt;0,Gradesheet!#REF!,Gradesheet!#REF!)</f>
        <v>#REF!</v>
      </c>
      <c r="E636" s="138" t="e">
        <f>IF(Outline!$C$14&gt;0,Gradesheet!#REF!,Gradesheet!#REF!)</f>
        <v>#REF!</v>
      </c>
      <c r="F636" s="138" t="e">
        <f>IF(Outline!$C$14&gt;0,Gradesheet!#REF!,"NA")</f>
        <v>#REF!</v>
      </c>
      <c r="G636" s="138" t="e">
        <f>IF(Outline!$C$14&gt;0,Gradesheet!#REF!,Gradesheet!#REF!)</f>
        <v>#REF!</v>
      </c>
      <c r="H636" s="139" t="e">
        <f t="shared" si="10"/>
        <v>#REF!</v>
      </c>
    </row>
    <row r="637" spans="2:8" hidden="1" x14ac:dyDescent="0.25">
      <c r="B637" s="90" t="e">
        <f>Gradesheet!#REF!</f>
        <v>#REF!</v>
      </c>
      <c r="C637" s="91" t="e">
        <f>(Gradesheet!#REF!)</f>
        <v>#REF!</v>
      </c>
      <c r="D637" s="92" t="e">
        <f>IF(Outline!$C$14&gt;0,Gradesheet!#REF!,Gradesheet!#REF!)</f>
        <v>#REF!</v>
      </c>
      <c r="E637" s="138" t="e">
        <f>IF(Outline!$C$14&gt;0,Gradesheet!#REF!,Gradesheet!#REF!)</f>
        <v>#REF!</v>
      </c>
      <c r="F637" s="138" t="e">
        <f>IF(Outline!$C$14&gt;0,Gradesheet!#REF!,"NA")</f>
        <v>#REF!</v>
      </c>
      <c r="G637" s="138" t="e">
        <f>IF(Outline!$C$14&gt;0,Gradesheet!#REF!,Gradesheet!#REF!)</f>
        <v>#REF!</v>
      </c>
      <c r="H637" s="139" t="e">
        <f t="shared" si="10"/>
        <v>#REF!</v>
      </c>
    </row>
    <row r="638" spans="2:8" hidden="1" x14ac:dyDescent="0.25">
      <c r="B638" s="90" t="e">
        <f>Gradesheet!#REF!</f>
        <v>#REF!</v>
      </c>
      <c r="C638" s="91" t="e">
        <f>(Gradesheet!#REF!)</f>
        <v>#REF!</v>
      </c>
      <c r="D638" s="92" t="e">
        <f>IF(Outline!$C$14&gt;0,Gradesheet!#REF!,Gradesheet!#REF!)</f>
        <v>#REF!</v>
      </c>
      <c r="E638" s="138" t="e">
        <f>IF(Outline!$C$14&gt;0,Gradesheet!#REF!,Gradesheet!#REF!)</f>
        <v>#REF!</v>
      </c>
      <c r="F638" s="138" t="e">
        <f>IF(Outline!$C$14&gt;0,Gradesheet!#REF!,"NA")</f>
        <v>#REF!</v>
      </c>
      <c r="G638" s="138" t="e">
        <f>IF(Outline!$C$14&gt;0,Gradesheet!#REF!,Gradesheet!#REF!)</f>
        <v>#REF!</v>
      </c>
      <c r="H638" s="139" t="e">
        <f t="shared" si="10"/>
        <v>#REF!</v>
      </c>
    </row>
    <row r="639" spans="2:8" hidden="1" x14ac:dyDescent="0.25">
      <c r="B639" s="90" t="e">
        <f>Gradesheet!#REF!</f>
        <v>#REF!</v>
      </c>
      <c r="C639" s="91" t="e">
        <f>(Gradesheet!#REF!)</f>
        <v>#REF!</v>
      </c>
      <c r="D639" s="92" t="e">
        <f>IF(Outline!$C$14&gt;0,Gradesheet!#REF!,Gradesheet!#REF!)</f>
        <v>#REF!</v>
      </c>
      <c r="E639" s="138" t="e">
        <f>IF(Outline!$C$14&gt;0,Gradesheet!#REF!,Gradesheet!#REF!)</f>
        <v>#REF!</v>
      </c>
      <c r="F639" s="138" t="e">
        <f>IF(Outline!$C$14&gt;0,Gradesheet!#REF!,"NA")</f>
        <v>#REF!</v>
      </c>
      <c r="G639" s="138" t="e">
        <f>IF(Outline!$C$14&gt;0,Gradesheet!#REF!,Gradesheet!#REF!)</f>
        <v>#REF!</v>
      </c>
      <c r="H639" s="139" t="e">
        <f t="shared" si="10"/>
        <v>#REF!</v>
      </c>
    </row>
    <row r="640" spans="2:8" hidden="1" x14ac:dyDescent="0.25">
      <c r="B640" s="90" t="e">
        <f>Gradesheet!#REF!</f>
        <v>#REF!</v>
      </c>
      <c r="C640" s="91" t="e">
        <f>(Gradesheet!#REF!)</f>
        <v>#REF!</v>
      </c>
      <c r="D640" s="92" t="e">
        <f>IF(Outline!$C$14&gt;0,Gradesheet!#REF!,Gradesheet!#REF!)</f>
        <v>#REF!</v>
      </c>
      <c r="E640" s="138" t="e">
        <f>IF(Outline!$C$14&gt;0,Gradesheet!#REF!,Gradesheet!#REF!)</f>
        <v>#REF!</v>
      </c>
      <c r="F640" s="138" t="e">
        <f>IF(Outline!$C$14&gt;0,Gradesheet!#REF!,"NA")</f>
        <v>#REF!</v>
      </c>
      <c r="G640" s="138" t="e">
        <f>IF(Outline!$C$14&gt;0,Gradesheet!#REF!,Gradesheet!#REF!)</f>
        <v>#REF!</v>
      </c>
      <c r="H640" s="139" t="e">
        <f t="shared" si="10"/>
        <v>#REF!</v>
      </c>
    </row>
    <row r="641" spans="2:8" hidden="1" x14ac:dyDescent="0.25">
      <c r="B641" s="90" t="e">
        <f>Gradesheet!#REF!</f>
        <v>#REF!</v>
      </c>
      <c r="C641" s="91" t="e">
        <f>(Gradesheet!#REF!)</f>
        <v>#REF!</v>
      </c>
      <c r="D641" s="92" t="e">
        <f>IF(Outline!$C$14&gt;0,Gradesheet!#REF!,Gradesheet!#REF!)</f>
        <v>#REF!</v>
      </c>
      <c r="E641" s="138" t="e">
        <f>IF(Outline!$C$14&gt;0,Gradesheet!#REF!,Gradesheet!#REF!)</f>
        <v>#REF!</v>
      </c>
      <c r="F641" s="138" t="e">
        <f>IF(Outline!$C$14&gt;0,Gradesheet!#REF!,"NA")</f>
        <v>#REF!</v>
      </c>
      <c r="G641" s="138" t="e">
        <f>IF(Outline!$C$14&gt;0,Gradesheet!#REF!,Gradesheet!#REF!)</f>
        <v>#REF!</v>
      </c>
      <c r="H641" s="139" t="e">
        <f t="shared" si="10"/>
        <v>#REF!</v>
      </c>
    </row>
    <row r="642" spans="2:8" hidden="1" x14ac:dyDescent="0.25">
      <c r="B642" s="90" t="e">
        <f>Gradesheet!#REF!</f>
        <v>#REF!</v>
      </c>
      <c r="C642" s="91" t="e">
        <f>(Gradesheet!#REF!)</f>
        <v>#REF!</v>
      </c>
      <c r="D642" s="92" t="e">
        <f>IF(Outline!$C$14&gt;0,Gradesheet!#REF!,Gradesheet!#REF!)</f>
        <v>#REF!</v>
      </c>
      <c r="E642" s="138" t="e">
        <f>IF(Outline!$C$14&gt;0,Gradesheet!#REF!,Gradesheet!#REF!)</f>
        <v>#REF!</v>
      </c>
      <c r="F642" s="138" t="e">
        <f>IF(Outline!$C$14&gt;0,Gradesheet!#REF!,"NA")</f>
        <v>#REF!</v>
      </c>
      <c r="G642" s="138" t="e">
        <f>IF(Outline!$C$14&gt;0,Gradesheet!#REF!,Gradesheet!#REF!)</f>
        <v>#REF!</v>
      </c>
      <c r="H642" s="139" t="e">
        <f t="shared" si="10"/>
        <v>#REF!</v>
      </c>
    </row>
    <row r="643" spans="2:8" hidden="1" x14ac:dyDescent="0.25">
      <c r="B643" s="90" t="e">
        <f>Gradesheet!#REF!</f>
        <v>#REF!</v>
      </c>
      <c r="C643" s="91" t="e">
        <f>(Gradesheet!#REF!)</f>
        <v>#REF!</v>
      </c>
      <c r="D643" s="92" t="e">
        <f>IF(Outline!$C$14&gt;0,Gradesheet!#REF!,Gradesheet!#REF!)</f>
        <v>#REF!</v>
      </c>
      <c r="E643" s="138" t="e">
        <f>IF(Outline!$C$14&gt;0,Gradesheet!#REF!,Gradesheet!#REF!)</f>
        <v>#REF!</v>
      </c>
      <c r="F643" s="138" t="e">
        <f>IF(Outline!$C$14&gt;0,Gradesheet!#REF!,"NA")</f>
        <v>#REF!</v>
      </c>
      <c r="G643" s="138" t="e">
        <f>IF(Outline!$C$14&gt;0,Gradesheet!#REF!,Gradesheet!#REF!)</f>
        <v>#REF!</v>
      </c>
      <c r="H643" s="139" t="e">
        <f t="shared" si="10"/>
        <v>#REF!</v>
      </c>
    </row>
    <row r="644" spans="2:8" hidden="1" x14ac:dyDescent="0.25">
      <c r="B644" s="90" t="e">
        <f>Gradesheet!#REF!</f>
        <v>#REF!</v>
      </c>
      <c r="C644" s="91" t="e">
        <f>(Gradesheet!#REF!)</f>
        <v>#REF!</v>
      </c>
      <c r="D644" s="92" t="e">
        <f>IF(Outline!$C$14&gt;0,Gradesheet!#REF!,Gradesheet!#REF!)</f>
        <v>#REF!</v>
      </c>
      <c r="E644" s="138" t="e">
        <f>IF(Outline!$C$14&gt;0,Gradesheet!#REF!,Gradesheet!#REF!)</f>
        <v>#REF!</v>
      </c>
      <c r="F644" s="138" t="e">
        <f>IF(Outline!$C$14&gt;0,Gradesheet!#REF!,"NA")</f>
        <v>#REF!</v>
      </c>
      <c r="G644" s="138" t="e">
        <f>IF(Outline!$C$14&gt;0,Gradesheet!#REF!,Gradesheet!#REF!)</f>
        <v>#REF!</v>
      </c>
      <c r="H644" s="139" t="e">
        <f t="shared" si="10"/>
        <v>#REF!</v>
      </c>
    </row>
    <row r="645" spans="2:8" hidden="1" x14ac:dyDescent="0.25">
      <c r="B645" s="90" t="e">
        <f>Gradesheet!#REF!</f>
        <v>#REF!</v>
      </c>
      <c r="C645" s="91" t="e">
        <f>(Gradesheet!#REF!)</f>
        <v>#REF!</v>
      </c>
      <c r="D645" s="92" t="e">
        <f>IF(Outline!$C$14&gt;0,Gradesheet!#REF!,Gradesheet!#REF!)</f>
        <v>#REF!</v>
      </c>
      <c r="E645" s="138" t="e">
        <f>IF(Outline!$C$14&gt;0,Gradesheet!#REF!,Gradesheet!#REF!)</f>
        <v>#REF!</v>
      </c>
      <c r="F645" s="138" t="e">
        <f>IF(Outline!$C$14&gt;0,Gradesheet!#REF!,"NA")</f>
        <v>#REF!</v>
      </c>
      <c r="G645" s="138" t="e">
        <f>IF(Outline!$C$14&gt;0,Gradesheet!#REF!,Gradesheet!#REF!)</f>
        <v>#REF!</v>
      </c>
      <c r="H645" s="139" t="e">
        <f t="shared" si="10"/>
        <v>#REF!</v>
      </c>
    </row>
    <row r="646" spans="2:8" hidden="1" x14ac:dyDescent="0.25">
      <c r="B646" s="90" t="e">
        <f>Gradesheet!#REF!</f>
        <v>#REF!</v>
      </c>
      <c r="C646" s="91" t="e">
        <f>(Gradesheet!#REF!)</f>
        <v>#REF!</v>
      </c>
      <c r="D646" s="92" t="e">
        <f>IF(Outline!$C$14&gt;0,Gradesheet!#REF!,Gradesheet!#REF!)</f>
        <v>#REF!</v>
      </c>
      <c r="E646" s="138" t="e">
        <f>IF(Outline!$C$14&gt;0,Gradesheet!#REF!,Gradesheet!#REF!)</f>
        <v>#REF!</v>
      </c>
      <c r="F646" s="138" t="e">
        <f>IF(Outline!$C$14&gt;0,Gradesheet!#REF!,"NA")</f>
        <v>#REF!</v>
      </c>
      <c r="G646" s="138" t="e">
        <f>IF(Outline!$C$14&gt;0,Gradesheet!#REF!,Gradesheet!#REF!)</f>
        <v>#REF!</v>
      </c>
      <c r="H646" s="139" t="e">
        <f t="shared" si="10"/>
        <v>#REF!</v>
      </c>
    </row>
    <row r="647" spans="2:8" hidden="1" x14ac:dyDescent="0.25">
      <c r="B647" s="90" t="e">
        <f>Gradesheet!#REF!</f>
        <v>#REF!</v>
      </c>
      <c r="C647" s="91" t="e">
        <f>(Gradesheet!#REF!)</f>
        <v>#REF!</v>
      </c>
      <c r="D647" s="92" t="e">
        <f>IF(Outline!$C$14&gt;0,Gradesheet!#REF!,Gradesheet!#REF!)</f>
        <v>#REF!</v>
      </c>
      <c r="E647" s="138" t="e">
        <f>IF(Outline!$C$14&gt;0,Gradesheet!#REF!,Gradesheet!#REF!)</f>
        <v>#REF!</v>
      </c>
      <c r="F647" s="138" t="e">
        <f>IF(Outline!$C$14&gt;0,Gradesheet!#REF!,"NA")</f>
        <v>#REF!</v>
      </c>
      <c r="G647" s="138" t="e">
        <f>IF(Outline!$C$14&gt;0,Gradesheet!#REF!,Gradesheet!#REF!)</f>
        <v>#REF!</v>
      </c>
      <c r="H647" s="139" t="e">
        <f t="shared" ref="H647:H710" si="11">SUM(D647:G647)</f>
        <v>#REF!</v>
      </c>
    </row>
    <row r="648" spans="2:8" hidden="1" x14ac:dyDescent="0.25">
      <c r="B648" s="90" t="e">
        <f>Gradesheet!#REF!</f>
        <v>#REF!</v>
      </c>
      <c r="C648" s="91" t="e">
        <f>(Gradesheet!#REF!)</f>
        <v>#REF!</v>
      </c>
      <c r="D648" s="92" t="e">
        <f>IF(Outline!$C$14&gt;0,Gradesheet!#REF!,Gradesheet!#REF!)</f>
        <v>#REF!</v>
      </c>
      <c r="E648" s="138" t="e">
        <f>IF(Outline!$C$14&gt;0,Gradesheet!#REF!,Gradesheet!#REF!)</f>
        <v>#REF!</v>
      </c>
      <c r="F648" s="138" t="e">
        <f>IF(Outline!$C$14&gt;0,Gradesheet!#REF!,"NA")</f>
        <v>#REF!</v>
      </c>
      <c r="G648" s="138" t="e">
        <f>IF(Outline!$C$14&gt;0,Gradesheet!#REF!,Gradesheet!#REF!)</f>
        <v>#REF!</v>
      </c>
      <c r="H648" s="139" t="e">
        <f t="shared" si="11"/>
        <v>#REF!</v>
      </c>
    </row>
    <row r="649" spans="2:8" hidden="1" x14ac:dyDescent="0.25">
      <c r="B649" s="90" t="e">
        <f>Gradesheet!#REF!</f>
        <v>#REF!</v>
      </c>
      <c r="C649" s="91" t="e">
        <f>(Gradesheet!#REF!)</f>
        <v>#REF!</v>
      </c>
      <c r="D649" s="92" t="e">
        <f>IF(Outline!$C$14&gt;0,Gradesheet!#REF!,Gradesheet!#REF!)</f>
        <v>#REF!</v>
      </c>
      <c r="E649" s="138" t="e">
        <f>IF(Outline!$C$14&gt;0,Gradesheet!#REF!,Gradesheet!#REF!)</f>
        <v>#REF!</v>
      </c>
      <c r="F649" s="138" t="e">
        <f>IF(Outline!$C$14&gt;0,Gradesheet!#REF!,"NA")</f>
        <v>#REF!</v>
      </c>
      <c r="G649" s="138" t="e">
        <f>IF(Outline!$C$14&gt;0,Gradesheet!#REF!,Gradesheet!#REF!)</f>
        <v>#REF!</v>
      </c>
      <c r="H649" s="139" t="e">
        <f t="shared" si="11"/>
        <v>#REF!</v>
      </c>
    </row>
    <row r="650" spans="2:8" hidden="1" x14ac:dyDescent="0.25">
      <c r="B650" s="90" t="e">
        <f>Gradesheet!#REF!</f>
        <v>#REF!</v>
      </c>
      <c r="C650" s="91" t="e">
        <f>(Gradesheet!#REF!)</f>
        <v>#REF!</v>
      </c>
      <c r="D650" s="92" t="e">
        <f>IF(Outline!$C$14&gt;0,Gradesheet!#REF!,Gradesheet!#REF!)</f>
        <v>#REF!</v>
      </c>
      <c r="E650" s="138" t="e">
        <f>IF(Outline!$C$14&gt;0,Gradesheet!#REF!,Gradesheet!#REF!)</f>
        <v>#REF!</v>
      </c>
      <c r="F650" s="138" t="e">
        <f>IF(Outline!$C$14&gt;0,Gradesheet!#REF!,"NA")</f>
        <v>#REF!</v>
      </c>
      <c r="G650" s="138" t="e">
        <f>IF(Outline!$C$14&gt;0,Gradesheet!#REF!,Gradesheet!#REF!)</f>
        <v>#REF!</v>
      </c>
      <c r="H650" s="139" t="e">
        <f t="shared" si="11"/>
        <v>#REF!</v>
      </c>
    </row>
    <row r="651" spans="2:8" hidden="1" x14ac:dyDescent="0.25">
      <c r="B651" s="90" t="e">
        <f>Gradesheet!#REF!</f>
        <v>#REF!</v>
      </c>
      <c r="C651" s="91" t="e">
        <f>(Gradesheet!#REF!)</f>
        <v>#REF!</v>
      </c>
      <c r="D651" s="92" t="e">
        <f>IF(Outline!$C$14&gt;0,Gradesheet!#REF!,Gradesheet!#REF!)</f>
        <v>#REF!</v>
      </c>
      <c r="E651" s="138" t="e">
        <f>IF(Outline!$C$14&gt;0,Gradesheet!#REF!,Gradesheet!#REF!)</f>
        <v>#REF!</v>
      </c>
      <c r="F651" s="138" t="e">
        <f>IF(Outline!$C$14&gt;0,Gradesheet!#REF!,"NA")</f>
        <v>#REF!</v>
      </c>
      <c r="G651" s="138" t="e">
        <f>IF(Outline!$C$14&gt;0,Gradesheet!#REF!,Gradesheet!#REF!)</f>
        <v>#REF!</v>
      </c>
      <c r="H651" s="139" t="e">
        <f t="shared" si="11"/>
        <v>#REF!</v>
      </c>
    </row>
    <row r="652" spans="2:8" hidden="1" x14ac:dyDescent="0.25">
      <c r="B652" s="90" t="e">
        <f>Gradesheet!#REF!</f>
        <v>#REF!</v>
      </c>
      <c r="C652" s="91" t="e">
        <f>(Gradesheet!#REF!)</f>
        <v>#REF!</v>
      </c>
      <c r="D652" s="92" t="e">
        <f>IF(Outline!$C$14&gt;0,Gradesheet!#REF!,Gradesheet!#REF!)</f>
        <v>#REF!</v>
      </c>
      <c r="E652" s="138" t="e">
        <f>IF(Outline!$C$14&gt;0,Gradesheet!#REF!,Gradesheet!#REF!)</f>
        <v>#REF!</v>
      </c>
      <c r="F652" s="138" t="e">
        <f>IF(Outline!$C$14&gt;0,Gradesheet!#REF!,"NA")</f>
        <v>#REF!</v>
      </c>
      <c r="G652" s="138" t="e">
        <f>IF(Outline!$C$14&gt;0,Gradesheet!#REF!,Gradesheet!#REF!)</f>
        <v>#REF!</v>
      </c>
      <c r="H652" s="139" t="e">
        <f t="shared" si="11"/>
        <v>#REF!</v>
      </c>
    </row>
    <row r="653" spans="2:8" hidden="1" x14ac:dyDescent="0.25">
      <c r="B653" s="90" t="e">
        <f>Gradesheet!#REF!</f>
        <v>#REF!</v>
      </c>
      <c r="C653" s="91" t="e">
        <f>(Gradesheet!#REF!)</f>
        <v>#REF!</v>
      </c>
      <c r="D653" s="92" t="e">
        <f>IF(Outline!$C$14&gt;0,Gradesheet!#REF!,Gradesheet!#REF!)</f>
        <v>#REF!</v>
      </c>
      <c r="E653" s="138" t="e">
        <f>IF(Outline!$C$14&gt;0,Gradesheet!#REF!,Gradesheet!#REF!)</f>
        <v>#REF!</v>
      </c>
      <c r="F653" s="138" t="e">
        <f>IF(Outline!$C$14&gt;0,Gradesheet!#REF!,"NA")</f>
        <v>#REF!</v>
      </c>
      <c r="G653" s="138" t="e">
        <f>IF(Outline!$C$14&gt;0,Gradesheet!#REF!,Gradesheet!#REF!)</f>
        <v>#REF!</v>
      </c>
      <c r="H653" s="139" t="e">
        <f t="shared" si="11"/>
        <v>#REF!</v>
      </c>
    </row>
    <row r="654" spans="2:8" hidden="1" x14ac:dyDescent="0.25">
      <c r="B654" s="90" t="e">
        <f>Gradesheet!#REF!</f>
        <v>#REF!</v>
      </c>
      <c r="C654" s="91" t="e">
        <f>(Gradesheet!#REF!)</f>
        <v>#REF!</v>
      </c>
      <c r="D654" s="92" t="e">
        <f>IF(Outline!$C$14&gt;0,Gradesheet!#REF!,Gradesheet!#REF!)</f>
        <v>#REF!</v>
      </c>
      <c r="E654" s="138" t="e">
        <f>IF(Outline!$C$14&gt;0,Gradesheet!#REF!,Gradesheet!#REF!)</f>
        <v>#REF!</v>
      </c>
      <c r="F654" s="138" t="e">
        <f>IF(Outline!$C$14&gt;0,Gradesheet!#REF!,"NA")</f>
        <v>#REF!</v>
      </c>
      <c r="G654" s="138" t="e">
        <f>IF(Outline!$C$14&gt;0,Gradesheet!#REF!,Gradesheet!#REF!)</f>
        <v>#REF!</v>
      </c>
      <c r="H654" s="139" t="e">
        <f t="shared" si="11"/>
        <v>#REF!</v>
      </c>
    </row>
    <row r="655" spans="2:8" hidden="1" x14ac:dyDescent="0.25">
      <c r="B655" s="90" t="e">
        <f>Gradesheet!#REF!</f>
        <v>#REF!</v>
      </c>
      <c r="C655" s="91" t="e">
        <f>(Gradesheet!#REF!)</f>
        <v>#REF!</v>
      </c>
      <c r="D655" s="92" t="e">
        <f>IF(Outline!$C$14&gt;0,Gradesheet!#REF!,Gradesheet!#REF!)</f>
        <v>#REF!</v>
      </c>
      <c r="E655" s="138" t="e">
        <f>IF(Outline!$C$14&gt;0,Gradesheet!#REF!,Gradesheet!#REF!)</f>
        <v>#REF!</v>
      </c>
      <c r="F655" s="138" t="e">
        <f>IF(Outline!$C$14&gt;0,Gradesheet!#REF!,"NA")</f>
        <v>#REF!</v>
      </c>
      <c r="G655" s="138" t="e">
        <f>IF(Outline!$C$14&gt;0,Gradesheet!#REF!,Gradesheet!#REF!)</f>
        <v>#REF!</v>
      </c>
      <c r="H655" s="139" t="e">
        <f t="shared" si="11"/>
        <v>#REF!</v>
      </c>
    </row>
    <row r="656" spans="2:8" hidden="1" x14ac:dyDescent="0.25">
      <c r="B656" s="90" t="e">
        <f>Gradesheet!#REF!</f>
        <v>#REF!</v>
      </c>
      <c r="C656" s="91" t="e">
        <f>(Gradesheet!#REF!)</f>
        <v>#REF!</v>
      </c>
      <c r="D656" s="92" t="e">
        <f>IF(Outline!$C$14&gt;0,Gradesheet!#REF!,Gradesheet!#REF!)</f>
        <v>#REF!</v>
      </c>
      <c r="E656" s="138" t="e">
        <f>IF(Outline!$C$14&gt;0,Gradesheet!#REF!,Gradesheet!#REF!)</f>
        <v>#REF!</v>
      </c>
      <c r="F656" s="138" t="e">
        <f>IF(Outline!$C$14&gt;0,Gradesheet!#REF!,"NA")</f>
        <v>#REF!</v>
      </c>
      <c r="G656" s="138" t="e">
        <f>IF(Outline!$C$14&gt;0,Gradesheet!#REF!,Gradesheet!#REF!)</f>
        <v>#REF!</v>
      </c>
      <c r="H656" s="139" t="e">
        <f t="shared" si="11"/>
        <v>#REF!</v>
      </c>
    </row>
    <row r="657" spans="2:8" hidden="1" x14ac:dyDescent="0.25">
      <c r="B657" s="90" t="e">
        <f>Gradesheet!#REF!</f>
        <v>#REF!</v>
      </c>
      <c r="C657" s="91" t="e">
        <f>(Gradesheet!#REF!)</f>
        <v>#REF!</v>
      </c>
      <c r="D657" s="92" t="e">
        <f>IF(Outline!$C$14&gt;0,Gradesheet!#REF!,Gradesheet!#REF!)</f>
        <v>#REF!</v>
      </c>
      <c r="E657" s="138" t="e">
        <f>IF(Outline!$C$14&gt;0,Gradesheet!#REF!,Gradesheet!#REF!)</f>
        <v>#REF!</v>
      </c>
      <c r="F657" s="138" t="e">
        <f>IF(Outline!$C$14&gt;0,Gradesheet!#REF!,"NA")</f>
        <v>#REF!</v>
      </c>
      <c r="G657" s="138" t="e">
        <f>IF(Outline!$C$14&gt;0,Gradesheet!#REF!,Gradesheet!#REF!)</f>
        <v>#REF!</v>
      </c>
      <c r="H657" s="139" t="e">
        <f t="shared" si="11"/>
        <v>#REF!</v>
      </c>
    </row>
    <row r="658" spans="2:8" hidden="1" x14ac:dyDescent="0.25">
      <c r="B658" s="90" t="e">
        <f>Gradesheet!#REF!</f>
        <v>#REF!</v>
      </c>
      <c r="C658" s="91" t="e">
        <f>(Gradesheet!#REF!)</f>
        <v>#REF!</v>
      </c>
      <c r="D658" s="92" t="e">
        <f>IF(Outline!$C$14&gt;0,Gradesheet!#REF!,Gradesheet!#REF!)</f>
        <v>#REF!</v>
      </c>
      <c r="E658" s="138" t="e">
        <f>IF(Outline!$C$14&gt;0,Gradesheet!#REF!,Gradesheet!#REF!)</f>
        <v>#REF!</v>
      </c>
      <c r="F658" s="138" t="e">
        <f>IF(Outline!$C$14&gt;0,Gradesheet!#REF!,"NA")</f>
        <v>#REF!</v>
      </c>
      <c r="G658" s="138" t="e">
        <f>IF(Outline!$C$14&gt;0,Gradesheet!#REF!,Gradesheet!#REF!)</f>
        <v>#REF!</v>
      </c>
      <c r="H658" s="139" t="e">
        <f t="shared" si="11"/>
        <v>#REF!</v>
      </c>
    </row>
    <row r="659" spans="2:8" hidden="1" x14ac:dyDescent="0.25">
      <c r="B659" s="90" t="e">
        <f>Gradesheet!#REF!</f>
        <v>#REF!</v>
      </c>
      <c r="C659" s="91" t="e">
        <f>(Gradesheet!#REF!)</f>
        <v>#REF!</v>
      </c>
      <c r="D659" s="92" t="e">
        <f>IF(Outline!$C$14&gt;0,Gradesheet!#REF!,Gradesheet!#REF!)</f>
        <v>#REF!</v>
      </c>
      <c r="E659" s="138" t="e">
        <f>IF(Outline!$C$14&gt;0,Gradesheet!#REF!,Gradesheet!#REF!)</f>
        <v>#REF!</v>
      </c>
      <c r="F659" s="138" t="e">
        <f>IF(Outline!$C$14&gt;0,Gradesheet!#REF!,"NA")</f>
        <v>#REF!</v>
      </c>
      <c r="G659" s="138" t="e">
        <f>IF(Outline!$C$14&gt;0,Gradesheet!#REF!,Gradesheet!#REF!)</f>
        <v>#REF!</v>
      </c>
      <c r="H659" s="139" t="e">
        <f t="shared" si="11"/>
        <v>#REF!</v>
      </c>
    </row>
    <row r="660" spans="2:8" hidden="1" x14ac:dyDescent="0.25">
      <c r="B660" s="90" t="e">
        <f>Gradesheet!#REF!</f>
        <v>#REF!</v>
      </c>
      <c r="C660" s="91" t="e">
        <f>(Gradesheet!#REF!)</f>
        <v>#REF!</v>
      </c>
      <c r="D660" s="92" t="e">
        <f>IF(Outline!$C$14&gt;0,Gradesheet!#REF!,Gradesheet!#REF!)</f>
        <v>#REF!</v>
      </c>
      <c r="E660" s="138" t="e">
        <f>IF(Outline!$C$14&gt;0,Gradesheet!#REF!,Gradesheet!#REF!)</f>
        <v>#REF!</v>
      </c>
      <c r="F660" s="138" t="e">
        <f>IF(Outline!$C$14&gt;0,Gradesheet!#REF!,"NA")</f>
        <v>#REF!</v>
      </c>
      <c r="G660" s="138" t="e">
        <f>IF(Outline!$C$14&gt;0,Gradesheet!#REF!,Gradesheet!#REF!)</f>
        <v>#REF!</v>
      </c>
      <c r="H660" s="139" t="e">
        <f t="shared" si="11"/>
        <v>#REF!</v>
      </c>
    </row>
    <row r="661" spans="2:8" hidden="1" x14ac:dyDescent="0.25">
      <c r="B661" s="90" t="e">
        <f>Gradesheet!#REF!</f>
        <v>#REF!</v>
      </c>
      <c r="C661" s="91" t="e">
        <f>(Gradesheet!#REF!)</f>
        <v>#REF!</v>
      </c>
      <c r="D661" s="92" t="e">
        <f>IF(Outline!$C$14&gt;0,Gradesheet!#REF!,Gradesheet!#REF!)</f>
        <v>#REF!</v>
      </c>
      <c r="E661" s="138" t="e">
        <f>IF(Outline!$C$14&gt;0,Gradesheet!#REF!,Gradesheet!#REF!)</f>
        <v>#REF!</v>
      </c>
      <c r="F661" s="138" t="e">
        <f>IF(Outline!$C$14&gt;0,Gradesheet!#REF!,"NA")</f>
        <v>#REF!</v>
      </c>
      <c r="G661" s="138" t="e">
        <f>IF(Outline!$C$14&gt;0,Gradesheet!#REF!,Gradesheet!#REF!)</f>
        <v>#REF!</v>
      </c>
      <c r="H661" s="139" t="e">
        <f t="shared" si="11"/>
        <v>#REF!</v>
      </c>
    </row>
    <row r="662" spans="2:8" hidden="1" x14ac:dyDescent="0.25">
      <c r="B662" s="90" t="e">
        <f>Gradesheet!#REF!</f>
        <v>#REF!</v>
      </c>
      <c r="C662" s="91" t="e">
        <f>(Gradesheet!#REF!)</f>
        <v>#REF!</v>
      </c>
      <c r="D662" s="92" t="e">
        <f>IF(Outline!$C$14&gt;0,Gradesheet!#REF!,Gradesheet!#REF!)</f>
        <v>#REF!</v>
      </c>
      <c r="E662" s="138" t="e">
        <f>IF(Outline!$C$14&gt;0,Gradesheet!#REF!,Gradesheet!#REF!)</f>
        <v>#REF!</v>
      </c>
      <c r="F662" s="138" t="e">
        <f>IF(Outline!$C$14&gt;0,Gradesheet!#REF!,"NA")</f>
        <v>#REF!</v>
      </c>
      <c r="G662" s="138" t="e">
        <f>IF(Outline!$C$14&gt;0,Gradesheet!#REF!,Gradesheet!#REF!)</f>
        <v>#REF!</v>
      </c>
      <c r="H662" s="139" t="e">
        <f t="shared" si="11"/>
        <v>#REF!</v>
      </c>
    </row>
    <row r="663" spans="2:8" hidden="1" x14ac:dyDescent="0.25">
      <c r="B663" s="90" t="e">
        <f>Gradesheet!#REF!</f>
        <v>#REF!</v>
      </c>
      <c r="C663" s="91" t="e">
        <f>(Gradesheet!#REF!)</f>
        <v>#REF!</v>
      </c>
      <c r="D663" s="92" t="e">
        <f>IF(Outline!$C$14&gt;0,Gradesheet!#REF!,Gradesheet!#REF!)</f>
        <v>#REF!</v>
      </c>
      <c r="E663" s="138" t="e">
        <f>IF(Outline!$C$14&gt;0,Gradesheet!#REF!,Gradesheet!#REF!)</f>
        <v>#REF!</v>
      </c>
      <c r="F663" s="138" t="e">
        <f>IF(Outline!$C$14&gt;0,Gradesheet!#REF!,"NA")</f>
        <v>#REF!</v>
      </c>
      <c r="G663" s="138" t="e">
        <f>IF(Outline!$C$14&gt;0,Gradesheet!#REF!,Gradesheet!#REF!)</f>
        <v>#REF!</v>
      </c>
      <c r="H663" s="139" t="e">
        <f t="shared" si="11"/>
        <v>#REF!</v>
      </c>
    </row>
    <row r="664" spans="2:8" hidden="1" x14ac:dyDescent="0.25">
      <c r="B664" s="90" t="e">
        <f>Gradesheet!#REF!</f>
        <v>#REF!</v>
      </c>
      <c r="C664" s="91" t="e">
        <f>(Gradesheet!#REF!)</f>
        <v>#REF!</v>
      </c>
      <c r="D664" s="92" t="e">
        <f>IF(Outline!$C$14&gt;0,Gradesheet!#REF!,Gradesheet!#REF!)</f>
        <v>#REF!</v>
      </c>
      <c r="E664" s="138" t="e">
        <f>IF(Outline!$C$14&gt;0,Gradesheet!#REF!,Gradesheet!#REF!)</f>
        <v>#REF!</v>
      </c>
      <c r="F664" s="138" t="e">
        <f>IF(Outline!$C$14&gt;0,Gradesheet!#REF!,"NA")</f>
        <v>#REF!</v>
      </c>
      <c r="G664" s="138" t="e">
        <f>IF(Outline!$C$14&gt;0,Gradesheet!#REF!,Gradesheet!#REF!)</f>
        <v>#REF!</v>
      </c>
      <c r="H664" s="139" t="e">
        <f t="shared" si="11"/>
        <v>#REF!</v>
      </c>
    </row>
    <row r="665" spans="2:8" hidden="1" x14ac:dyDescent="0.25">
      <c r="B665" s="90" t="e">
        <f>Gradesheet!#REF!</f>
        <v>#REF!</v>
      </c>
      <c r="C665" s="91" t="e">
        <f>(Gradesheet!#REF!)</f>
        <v>#REF!</v>
      </c>
      <c r="D665" s="92" t="e">
        <f>IF(Outline!$C$14&gt;0,Gradesheet!#REF!,Gradesheet!#REF!)</f>
        <v>#REF!</v>
      </c>
      <c r="E665" s="138" t="e">
        <f>IF(Outline!$C$14&gt;0,Gradesheet!#REF!,Gradesheet!#REF!)</f>
        <v>#REF!</v>
      </c>
      <c r="F665" s="138" t="e">
        <f>IF(Outline!$C$14&gt;0,Gradesheet!#REF!,"NA")</f>
        <v>#REF!</v>
      </c>
      <c r="G665" s="138" t="e">
        <f>IF(Outline!$C$14&gt;0,Gradesheet!#REF!,Gradesheet!#REF!)</f>
        <v>#REF!</v>
      </c>
      <c r="H665" s="139" t="e">
        <f t="shared" si="11"/>
        <v>#REF!</v>
      </c>
    </row>
    <row r="666" spans="2:8" hidden="1" x14ac:dyDescent="0.25">
      <c r="B666" s="90" t="e">
        <f>Gradesheet!#REF!</f>
        <v>#REF!</v>
      </c>
      <c r="C666" s="91" t="e">
        <f>(Gradesheet!#REF!)</f>
        <v>#REF!</v>
      </c>
      <c r="D666" s="92" t="e">
        <f>IF(Outline!$C$14&gt;0,Gradesheet!#REF!,Gradesheet!#REF!)</f>
        <v>#REF!</v>
      </c>
      <c r="E666" s="138" t="e">
        <f>IF(Outline!$C$14&gt;0,Gradesheet!#REF!,Gradesheet!#REF!)</f>
        <v>#REF!</v>
      </c>
      <c r="F666" s="138" t="e">
        <f>IF(Outline!$C$14&gt;0,Gradesheet!#REF!,"NA")</f>
        <v>#REF!</v>
      </c>
      <c r="G666" s="138" t="e">
        <f>IF(Outline!$C$14&gt;0,Gradesheet!#REF!,Gradesheet!#REF!)</f>
        <v>#REF!</v>
      </c>
      <c r="H666" s="139" t="e">
        <f t="shared" si="11"/>
        <v>#REF!</v>
      </c>
    </row>
    <row r="667" spans="2:8" hidden="1" x14ac:dyDescent="0.25">
      <c r="B667" s="90" t="e">
        <f>Gradesheet!#REF!</f>
        <v>#REF!</v>
      </c>
      <c r="C667" s="91" t="e">
        <f>(Gradesheet!#REF!)</f>
        <v>#REF!</v>
      </c>
      <c r="D667" s="92" t="e">
        <f>IF(Outline!$C$14&gt;0,Gradesheet!#REF!,Gradesheet!#REF!)</f>
        <v>#REF!</v>
      </c>
      <c r="E667" s="138" t="e">
        <f>IF(Outline!$C$14&gt;0,Gradesheet!#REF!,Gradesheet!#REF!)</f>
        <v>#REF!</v>
      </c>
      <c r="F667" s="138" t="e">
        <f>IF(Outline!$C$14&gt;0,Gradesheet!#REF!,"NA")</f>
        <v>#REF!</v>
      </c>
      <c r="G667" s="138" t="e">
        <f>IF(Outline!$C$14&gt;0,Gradesheet!#REF!,Gradesheet!#REF!)</f>
        <v>#REF!</v>
      </c>
      <c r="H667" s="139" t="e">
        <f t="shared" si="11"/>
        <v>#REF!</v>
      </c>
    </row>
    <row r="668" spans="2:8" hidden="1" x14ac:dyDescent="0.25">
      <c r="B668" s="90" t="e">
        <f>Gradesheet!#REF!</f>
        <v>#REF!</v>
      </c>
      <c r="C668" s="91" t="e">
        <f>(Gradesheet!#REF!)</f>
        <v>#REF!</v>
      </c>
      <c r="D668" s="92" t="e">
        <f>IF(Outline!$C$14&gt;0,Gradesheet!#REF!,Gradesheet!#REF!)</f>
        <v>#REF!</v>
      </c>
      <c r="E668" s="138" t="e">
        <f>IF(Outline!$C$14&gt;0,Gradesheet!#REF!,Gradesheet!#REF!)</f>
        <v>#REF!</v>
      </c>
      <c r="F668" s="138" t="e">
        <f>IF(Outline!$C$14&gt;0,Gradesheet!#REF!,"NA")</f>
        <v>#REF!</v>
      </c>
      <c r="G668" s="138" t="e">
        <f>IF(Outline!$C$14&gt;0,Gradesheet!#REF!,Gradesheet!#REF!)</f>
        <v>#REF!</v>
      </c>
      <c r="H668" s="139" t="e">
        <f t="shared" si="11"/>
        <v>#REF!</v>
      </c>
    </row>
    <row r="669" spans="2:8" hidden="1" x14ac:dyDescent="0.25">
      <c r="B669" s="90" t="e">
        <f>Gradesheet!#REF!</f>
        <v>#REF!</v>
      </c>
      <c r="C669" s="91" t="e">
        <f>(Gradesheet!#REF!)</f>
        <v>#REF!</v>
      </c>
      <c r="D669" s="92" t="e">
        <f>IF(Outline!$C$14&gt;0,Gradesheet!#REF!,Gradesheet!#REF!)</f>
        <v>#REF!</v>
      </c>
      <c r="E669" s="138" t="e">
        <f>IF(Outline!$C$14&gt;0,Gradesheet!#REF!,Gradesheet!#REF!)</f>
        <v>#REF!</v>
      </c>
      <c r="F669" s="138" t="e">
        <f>IF(Outline!$C$14&gt;0,Gradesheet!#REF!,"NA")</f>
        <v>#REF!</v>
      </c>
      <c r="G669" s="138" t="e">
        <f>IF(Outline!$C$14&gt;0,Gradesheet!#REF!,Gradesheet!#REF!)</f>
        <v>#REF!</v>
      </c>
      <c r="H669" s="139" t="e">
        <f t="shared" si="11"/>
        <v>#REF!</v>
      </c>
    </row>
    <row r="670" spans="2:8" hidden="1" x14ac:dyDescent="0.25">
      <c r="B670" s="90" t="e">
        <f>Gradesheet!#REF!</f>
        <v>#REF!</v>
      </c>
      <c r="C670" s="91" t="e">
        <f>(Gradesheet!#REF!)</f>
        <v>#REF!</v>
      </c>
      <c r="D670" s="92" t="e">
        <f>IF(Outline!$C$14&gt;0,Gradesheet!#REF!,Gradesheet!#REF!)</f>
        <v>#REF!</v>
      </c>
      <c r="E670" s="138" t="e">
        <f>IF(Outline!$C$14&gt;0,Gradesheet!#REF!,Gradesheet!#REF!)</f>
        <v>#REF!</v>
      </c>
      <c r="F670" s="138" t="e">
        <f>IF(Outline!$C$14&gt;0,Gradesheet!#REF!,"NA")</f>
        <v>#REF!</v>
      </c>
      <c r="G670" s="138" t="e">
        <f>IF(Outline!$C$14&gt;0,Gradesheet!#REF!,Gradesheet!#REF!)</f>
        <v>#REF!</v>
      </c>
      <c r="H670" s="139" t="e">
        <f t="shared" si="11"/>
        <v>#REF!</v>
      </c>
    </row>
    <row r="671" spans="2:8" hidden="1" x14ac:dyDescent="0.25">
      <c r="B671" s="90" t="e">
        <f>Gradesheet!#REF!</f>
        <v>#REF!</v>
      </c>
      <c r="C671" s="91" t="e">
        <f>(Gradesheet!#REF!)</f>
        <v>#REF!</v>
      </c>
      <c r="D671" s="92" t="e">
        <f>IF(Outline!$C$14&gt;0,Gradesheet!#REF!,Gradesheet!#REF!)</f>
        <v>#REF!</v>
      </c>
      <c r="E671" s="138" t="e">
        <f>IF(Outline!$C$14&gt;0,Gradesheet!#REF!,Gradesheet!#REF!)</f>
        <v>#REF!</v>
      </c>
      <c r="F671" s="138" t="e">
        <f>IF(Outline!$C$14&gt;0,Gradesheet!#REF!,"NA")</f>
        <v>#REF!</v>
      </c>
      <c r="G671" s="138" t="e">
        <f>IF(Outline!$C$14&gt;0,Gradesheet!#REF!,Gradesheet!#REF!)</f>
        <v>#REF!</v>
      </c>
      <c r="H671" s="139" t="e">
        <f t="shared" si="11"/>
        <v>#REF!</v>
      </c>
    </row>
    <row r="672" spans="2:8" hidden="1" x14ac:dyDescent="0.25">
      <c r="B672" s="90" t="e">
        <f>Gradesheet!#REF!</f>
        <v>#REF!</v>
      </c>
      <c r="C672" s="91" t="e">
        <f>(Gradesheet!#REF!)</f>
        <v>#REF!</v>
      </c>
      <c r="D672" s="92" t="e">
        <f>IF(Outline!$C$14&gt;0,Gradesheet!#REF!,Gradesheet!#REF!)</f>
        <v>#REF!</v>
      </c>
      <c r="E672" s="138" t="e">
        <f>IF(Outline!$C$14&gt;0,Gradesheet!#REF!,Gradesheet!#REF!)</f>
        <v>#REF!</v>
      </c>
      <c r="F672" s="138" t="e">
        <f>IF(Outline!$C$14&gt;0,Gradesheet!#REF!,"NA")</f>
        <v>#REF!</v>
      </c>
      <c r="G672" s="138" t="e">
        <f>IF(Outline!$C$14&gt;0,Gradesheet!#REF!,Gradesheet!#REF!)</f>
        <v>#REF!</v>
      </c>
      <c r="H672" s="139" t="e">
        <f t="shared" si="11"/>
        <v>#REF!</v>
      </c>
    </row>
    <row r="673" spans="2:8" hidden="1" x14ac:dyDescent="0.25">
      <c r="B673" s="90" t="e">
        <f>Gradesheet!#REF!</f>
        <v>#REF!</v>
      </c>
      <c r="C673" s="91" t="e">
        <f>(Gradesheet!#REF!)</f>
        <v>#REF!</v>
      </c>
      <c r="D673" s="92" t="e">
        <f>IF(Outline!$C$14&gt;0,Gradesheet!#REF!,Gradesheet!#REF!)</f>
        <v>#REF!</v>
      </c>
      <c r="E673" s="138" t="e">
        <f>IF(Outline!$C$14&gt;0,Gradesheet!#REF!,Gradesheet!#REF!)</f>
        <v>#REF!</v>
      </c>
      <c r="F673" s="138" t="e">
        <f>IF(Outline!$C$14&gt;0,Gradesheet!#REF!,"NA")</f>
        <v>#REF!</v>
      </c>
      <c r="G673" s="138" t="e">
        <f>IF(Outline!$C$14&gt;0,Gradesheet!#REF!,Gradesheet!#REF!)</f>
        <v>#REF!</v>
      </c>
      <c r="H673" s="139" t="e">
        <f t="shared" si="11"/>
        <v>#REF!</v>
      </c>
    </row>
    <row r="674" spans="2:8" hidden="1" x14ac:dyDescent="0.25">
      <c r="B674" s="90" t="e">
        <f>Gradesheet!#REF!</f>
        <v>#REF!</v>
      </c>
      <c r="C674" s="91" t="e">
        <f>(Gradesheet!#REF!)</f>
        <v>#REF!</v>
      </c>
      <c r="D674" s="92" t="e">
        <f>IF(Outline!$C$14&gt;0,Gradesheet!#REF!,Gradesheet!#REF!)</f>
        <v>#REF!</v>
      </c>
      <c r="E674" s="138" t="e">
        <f>IF(Outline!$C$14&gt;0,Gradesheet!#REF!,Gradesheet!#REF!)</f>
        <v>#REF!</v>
      </c>
      <c r="F674" s="138" t="e">
        <f>IF(Outline!$C$14&gt;0,Gradesheet!#REF!,"NA")</f>
        <v>#REF!</v>
      </c>
      <c r="G674" s="138" t="e">
        <f>IF(Outline!$C$14&gt;0,Gradesheet!#REF!,Gradesheet!#REF!)</f>
        <v>#REF!</v>
      </c>
      <c r="H674" s="139" t="e">
        <f t="shared" si="11"/>
        <v>#REF!</v>
      </c>
    </row>
    <row r="675" spans="2:8" hidden="1" x14ac:dyDescent="0.25">
      <c r="B675" s="90" t="e">
        <f>Gradesheet!#REF!</f>
        <v>#REF!</v>
      </c>
      <c r="C675" s="91" t="e">
        <f>(Gradesheet!#REF!)</f>
        <v>#REF!</v>
      </c>
      <c r="D675" s="92" t="e">
        <f>IF(Outline!$C$14&gt;0,Gradesheet!#REF!,Gradesheet!#REF!)</f>
        <v>#REF!</v>
      </c>
      <c r="E675" s="138" t="e">
        <f>IF(Outline!$C$14&gt;0,Gradesheet!#REF!,Gradesheet!#REF!)</f>
        <v>#REF!</v>
      </c>
      <c r="F675" s="138" t="e">
        <f>IF(Outline!$C$14&gt;0,Gradesheet!#REF!,"NA")</f>
        <v>#REF!</v>
      </c>
      <c r="G675" s="138" t="e">
        <f>IF(Outline!$C$14&gt;0,Gradesheet!#REF!,Gradesheet!#REF!)</f>
        <v>#REF!</v>
      </c>
      <c r="H675" s="139" t="e">
        <f t="shared" si="11"/>
        <v>#REF!</v>
      </c>
    </row>
    <row r="676" spans="2:8" hidden="1" x14ac:dyDescent="0.25">
      <c r="B676" s="90" t="e">
        <f>Gradesheet!#REF!</f>
        <v>#REF!</v>
      </c>
      <c r="C676" s="91" t="e">
        <f>(Gradesheet!#REF!)</f>
        <v>#REF!</v>
      </c>
      <c r="D676" s="92" t="e">
        <f>IF(Outline!$C$14&gt;0,Gradesheet!#REF!,Gradesheet!#REF!)</f>
        <v>#REF!</v>
      </c>
      <c r="E676" s="138" t="e">
        <f>IF(Outline!$C$14&gt;0,Gradesheet!#REF!,Gradesheet!#REF!)</f>
        <v>#REF!</v>
      </c>
      <c r="F676" s="138" t="e">
        <f>IF(Outline!$C$14&gt;0,Gradesheet!#REF!,"NA")</f>
        <v>#REF!</v>
      </c>
      <c r="G676" s="138" t="e">
        <f>IF(Outline!$C$14&gt;0,Gradesheet!#REF!,Gradesheet!#REF!)</f>
        <v>#REF!</v>
      </c>
      <c r="H676" s="139" t="e">
        <f t="shared" si="11"/>
        <v>#REF!</v>
      </c>
    </row>
    <row r="677" spans="2:8" hidden="1" x14ac:dyDescent="0.25">
      <c r="B677" s="90" t="e">
        <f>Gradesheet!#REF!</f>
        <v>#REF!</v>
      </c>
      <c r="C677" s="91" t="e">
        <f>(Gradesheet!#REF!)</f>
        <v>#REF!</v>
      </c>
      <c r="D677" s="92" t="e">
        <f>IF(Outline!$C$14&gt;0,Gradesheet!#REF!,Gradesheet!#REF!)</f>
        <v>#REF!</v>
      </c>
      <c r="E677" s="138" t="e">
        <f>IF(Outline!$C$14&gt;0,Gradesheet!#REF!,Gradesheet!#REF!)</f>
        <v>#REF!</v>
      </c>
      <c r="F677" s="138" t="e">
        <f>IF(Outline!$C$14&gt;0,Gradesheet!#REF!,"NA")</f>
        <v>#REF!</v>
      </c>
      <c r="G677" s="138" t="e">
        <f>IF(Outline!$C$14&gt;0,Gradesheet!#REF!,Gradesheet!#REF!)</f>
        <v>#REF!</v>
      </c>
      <c r="H677" s="139" t="e">
        <f t="shared" si="11"/>
        <v>#REF!</v>
      </c>
    </row>
    <row r="678" spans="2:8" hidden="1" x14ac:dyDescent="0.25">
      <c r="B678" s="90" t="e">
        <f>Gradesheet!#REF!</f>
        <v>#REF!</v>
      </c>
      <c r="C678" s="91" t="e">
        <f>(Gradesheet!#REF!)</f>
        <v>#REF!</v>
      </c>
      <c r="D678" s="92" t="e">
        <f>IF(Outline!$C$14&gt;0,Gradesheet!#REF!,Gradesheet!#REF!)</f>
        <v>#REF!</v>
      </c>
      <c r="E678" s="138" t="e">
        <f>IF(Outline!$C$14&gt;0,Gradesheet!#REF!,Gradesheet!#REF!)</f>
        <v>#REF!</v>
      </c>
      <c r="F678" s="138" t="e">
        <f>IF(Outline!$C$14&gt;0,Gradesheet!#REF!,"NA")</f>
        <v>#REF!</v>
      </c>
      <c r="G678" s="138" t="e">
        <f>IF(Outline!$C$14&gt;0,Gradesheet!#REF!,Gradesheet!#REF!)</f>
        <v>#REF!</v>
      </c>
      <c r="H678" s="139" t="e">
        <f t="shared" si="11"/>
        <v>#REF!</v>
      </c>
    </row>
    <row r="679" spans="2:8" hidden="1" x14ac:dyDescent="0.25">
      <c r="B679" s="90" t="e">
        <f>Gradesheet!#REF!</f>
        <v>#REF!</v>
      </c>
      <c r="C679" s="91" t="e">
        <f>(Gradesheet!#REF!)</f>
        <v>#REF!</v>
      </c>
      <c r="D679" s="92" t="e">
        <f>IF(Outline!$C$14&gt;0,Gradesheet!#REF!,Gradesheet!#REF!)</f>
        <v>#REF!</v>
      </c>
      <c r="E679" s="138" t="e">
        <f>IF(Outline!$C$14&gt;0,Gradesheet!#REF!,Gradesheet!#REF!)</f>
        <v>#REF!</v>
      </c>
      <c r="F679" s="138" t="e">
        <f>IF(Outline!$C$14&gt;0,Gradesheet!#REF!,"NA")</f>
        <v>#REF!</v>
      </c>
      <c r="G679" s="138" t="e">
        <f>IF(Outline!$C$14&gt;0,Gradesheet!#REF!,Gradesheet!#REF!)</f>
        <v>#REF!</v>
      </c>
      <c r="H679" s="139" t="e">
        <f t="shared" si="11"/>
        <v>#REF!</v>
      </c>
    </row>
    <row r="680" spans="2:8" hidden="1" x14ac:dyDescent="0.25">
      <c r="B680" s="90" t="e">
        <f>Gradesheet!#REF!</f>
        <v>#REF!</v>
      </c>
      <c r="C680" s="91" t="e">
        <f>(Gradesheet!#REF!)</f>
        <v>#REF!</v>
      </c>
      <c r="D680" s="92" t="e">
        <f>IF(Outline!$C$14&gt;0,Gradesheet!#REF!,Gradesheet!#REF!)</f>
        <v>#REF!</v>
      </c>
      <c r="E680" s="138" t="e">
        <f>IF(Outline!$C$14&gt;0,Gradesheet!#REF!,Gradesheet!#REF!)</f>
        <v>#REF!</v>
      </c>
      <c r="F680" s="138" t="e">
        <f>IF(Outline!$C$14&gt;0,Gradesheet!#REF!,"NA")</f>
        <v>#REF!</v>
      </c>
      <c r="G680" s="138" t="e">
        <f>IF(Outline!$C$14&gt;0,Gradesheet!#REF!,Gradesheet!#REF!)</f>
        <v>#REF!</v>
      </c>
      <c r="H680" s="139" t="e">
        <f t="shared" si="11"/>
        <v>#REF!</v>
      </c>
    </row>
    <row r="681" spans="2:8" hidden="1" x14ac:dyDescent="0.25">
      <c r="B681" s="90" t="e">
        <f>Gradesheet!#REF!</f>
        <v>#REF!</v>
      </c>
      <c r="C681" s="91" t="e">
        <f>(Gradesheet!#REF!)</f>
        <v>#REF!</v>
      </c>
      <c r="D681" s="92" t="e">
        <f>IF(Outline!$C$14&gt;0,Gradesheet!#REF!,Gradesheet!#REF!)</f>
        <v>#REF!</v>
      </c>
      <c r="E681" s="138" t="e">
        <f>IF(Outline!$C$14&gt;0,Gradesheet!#REF!,Gradesheet!#REF!)</f>
        <v>#REF!</v>
      </c>
      <c r="F681" s="138" t="e">
        <f>IF(Outline!$C$14&gt;0,Gradesheet!#REF!,"NA")</f>
        <v>#REF!</v>
      </c>
      <c r="G681" s="138" t="e">
        <f>IF(Outline!$C$14&gt;0,Gradesheet!#REF!,Gradesheet!#REF!)</f>
        <v>#REF!</v>
      </c>
      <c r="H681" s="139" t="e">
        <f t="shared" si="11"/>
        <v>#REF!</v>
      </c>
    </row>
    <row r="682" spans="2:8" hidden="1" x14ac:dyDescent="0.25">
      <c r="B682" s="90" t="e">
        <f>Gradesheet!#REF!</f>
        <v>#REF!</v>
      </c>
      <c r="C682" s="91" t="e">
        <f>(Gradesheet!#REF!)</f>
        <v>#REF!</v>
      </c>
      <c r="D682" s="92" t="e">
        <f>IF(Outline!$C$14&gt;0,Gradesheet!#REF!,Gradesheet!#REF!)</f>
        <v>#REF!</v>
      </c>
      <c r="E682" s="138" t="e">
        <f>IF(Outline!$C$14&gt;0,Gradesheet!#REF!,Gradesheet!#REF!)</f>
        <v>#REF!</v>
      </c>
      <c r="F682" s="138" t="e">
        <f>IF(Outline!$C$14&gt;0,Gradesheet!#REF!,"NA")</f>
        <v>#REF!</v>
      </c>
      <c r="G682" s="138" t="e">
        <f>IF(Outline!$C$14&gt;0,Gradesheet!#REF!,Gradesheet!#REF!)</f>
        <v>#REF!</v>
      </c>
      <c r="H682" s="139" t="e">
        <f t="shared" si="11"/>
        <v>#REF!</v>
      </c>
    </row>
    <row r="683" spans="2:8" hidden="1" x14ac:dyDescent="0.25">
      <c r="B683" s="90" t="e">
        <f>Gradesheet!#REF!</f>
        <v>#REF!</v>
      </c>
      <c r="C683" s="91" t="e">
        <f>(Gradesheet!#REF!)</f>
        <v>#REF!</v>
      </c>
      <c r="D683" s="92" t="e">
        <f>IF(Outline!$C$14&gt;0,Gradesheet!#REF!,Gradesheet!#REF!)</f>
        <v>#REF!</v>
      </c>
      <c r="E683" s="138" t="e">
        <f>IF(Outline!$C$14&gt;0,Gradesheet!#REF!,Gradesheet!#REF!)</f>
        <v>#REF!</v>
      </c>
      <c r="F683" s="138" t="e">
        <f>IF(Outline!$C$14&gt;0,Gradesheet!#REF!,"NA")</f>
        <v>#REF!</v>
      </c>
      <c r="G683" s="138" t="e">
        <f>IF(Outline!$C$14&gt;0,Gradesheet!#REF!,Gradesheet!#REF!)</f>
        <v>#REF!</v>
      </c>
      <c r="H683" s="139" t="e">
        <f t="shared" si="11"/>
        <v>#REF!</v>
      </c>
    </row>
    <row r="684" spans="2:8" hidden="1" x14ac:dyDescent="0.25">
      <c r="B684" s="90" t="e">
        <f>Gradesheet!#REF!</f>
        <v>#REF!</v>
      </c>
      <c r="C684" s="91" t="e">
        <f>(Gradesheet!#REF!)</f>
        <v>#REF!</v>
      </c>
      <c r="D684" s="92" t="e">
        <f>IF(Outline!$C$14&gt;0,Gradesheet!#REF!,Gradesheet!#REF!)</f>
        <v>#REF!</v>
      </c>
      <c r="E684" s="138" t="e">
        <f>IF(Outline!$C$14&gt;0,Gradesheet!#REF!,Gradesheet!#REF!)</f>
        <v>#REF!</v>
      </c>
      <c r="F684" s="138" t="e">
        <f>IF(Outline!$C$14&gt;0,Gradesheet!#REF!,"NA")</f>
        <v>#REF!</v>
      </c>
      <c r="G684" s="138" t="e">
        <f>IF(Outline!$C$14&gt;0,Gradesheet!#REF!,Gradesheet!#REF!)</f>
        <v>#REF!</v>
      </c>
      <c r="H684" s="139" t="e">
        <f t="shared" si="11"/>
        <v>#REF!</v>
      </c>
    </row>
    <row r="685" spans="2:8" hidden="1" x14ac:dyDescent="0.25">
      <c r="B685" s="90" t="e">
        <f>Gradesheet!#REF!</f>
        <v>#REF!</v>
      </c>
      <c r="C685" s="91" t="e">
        <f>(Gradesheet!#REF!)</f>
        <v>#REF!</v>
      </c>
      <c r="D685" s="92" t="e">
        <f>IF(Outline!$C$14&gt;0,Gradesheet!#REF!,Gradesheet!#REF!)</f>
        <v>#REF!</v>
      </c>
      <c r="E685" s="138" t="e">
        <f>IF(Outline!$C$14&gt;0,Gradesheet!#REF!,Gradesheet!#REF!)</f>
        <v>#REF!</v>
      </c>
      <c r="F685" s="138" t="e">
        <f>IF(Outline!$C$14&gt;0,Gradesheet!#REF!,"NA")</f>
        <v>#REF!</v>
      </c>
      <c r="G685" s="138" t="e">
        <f>IF(Outline!$C$14&gt;0,Gradesheet!#REF!,Gradesheet!#REF!)</f>
        <v>#REF!</v>
      </c>
      <c r="H685" s="139" t="e">
        <f t="shared" si="11"/>
        <v>#REF!</v>
      </c>
    </row>
    <row r="686" spans="2:8" hidden="1" x14ac:dyDescent="0.25">
      <c r="B686" s="90" t="e">
        <f>Gradesheet!#REF!</f>
        <v>#REF!</v>
      </c>
      <c r="C686" s="91" t="e">
        <f>(Gradesheet!#REF!)</f>
        <v>#REF!</v>
      </c>
      <c r="D686" s="92" t="e">
        <f>IF(Outline!$C$14&gt;0,Gradesheet!#REF!,Gradesheet!#REF!)</f>
        <v>#REF!</v>
      </c>
      <c r="E686" s="138" t="e">
        <f>IF(Outline!$C$14&gt;0,Gradesheet!#REF!,Gradesheet!#REF!)</f>
        <v>#REF!</v>
      </c>
      <c r="F686" s="138" t="e">
        <f>IF(Outline!$C$14&gt;0,Gradesheet!#REF!,"NA")</f>
        <v>#REF!</v>
      </c>
      <c r="G686" s="138" t="e">
        <f>IF(Outline!$C$14&gt;0,Gradesheet!#REF!,Gradesheet!#REF!)</f>
        <v>#REF!</v>
      </c>
      <c r="H686" s="139" t="e">
        <f t="shared" si="11"/>
        <v>#REF!</v>
      </c>
    </row>
    <row r="687" spans="2:8" hidden="1" x14ac:dyDescent="0.25">
      <c r="B687" s="90" t="e">
        <f>Gradesheet!#REF!</f>
        <v>#REF!</v>
      </c>
      <c r="C687" s="91" t="e">
        <f>(Gradesheet!#REF!)</f>
        <v>#REF!</v>
      </c>
      <c r="D687" s="92" t="e">
        <f>IF(Outline!$C$14&gt;0,Gradesheet!#REF!,Gradesheet!#REF!)</f>
        <v>#REF!</v>
      </c>
      <c r="E687" s="138" t="e">
        <f>IF(Outline!$C$14&gt;0,Gradesheet!#REF!,Gradesheet!#REF!)</f>
        <v>#REF!</v>
      </c>
      <c r="F687" s="138" t="e">
        <f>IF(Outline!$C$14&gt;0,Gradesheet!#REF!,"NA")</f>
        <v>#REF!</v>
      </c>
      <c r="G687" s="138" t="e">
        <f>IF(Outline!$C$14&gt;0,Gradesheet!#REF!,Gradesheet!#REF!)</f>
        <v>#REF!</v>
      </c>
      <c r="H687" s="139" t="e">
        <f t="shared" si="11"/>
        <v>#REF!</v>
      </c>
    </row>
    <row r="688" spans="2:8" hidden="1" x14ac:dyDescent="0.25">
      <c r="B688" s="90" t="e">
        <f>Gradesheet!#REF!</f>
        <v>#REF!</v>
      </c>
      <c r="C688" s="91" t="e">
        <f>(Gradesheet!#REF!)</f>
        <v>#REF!</v>
      </c>
      <c r="D688" s="92" t="e">
        <f>IF(Outline!$C$14&gt;0,Gradesheet!#REF!,Gradesheet!#REF!)</f>
        <v>#REF!</v>
      </c>
      <c r="E688" s="138" t="e">
        <f>IF(Outline!$C$14&gt;0,Gradesheet!#REF!,Gradesheet!#REF!)</f>
        <v>#REF!</v>
      </c>
      <c r="F688" s="138" t="e">
        <f>IF(Outline!$C$14&gt;0,Gradesheet!#REF!,"NA")</f>
        <v>#REF!</v>
      </c>
      <c r="G688" s="138" t="e">
        <f>IF(Outline!$C$14&gt;0,Gradesheet!#REF!,Gradesheet!#REF!)</f>
        <v>#REF!</v>
      </c>
      <c r="H688" s="139" t="e">
        <f t="shared" si="11"/>
        <v>#REF!</v>
      </c>
    </row>
    <row r="689" spans="2:8" hidden="1" x14ac:dyDescent="0.25">
      <c r="B689" s="90" t="e">
        <f>Gradesheet!#REF!</f>
        <v>#REF!</v>
      </c>
      <c r="C689" s="91" t="e">
        <f>(Gradesheet!#REF!)</f>
        <v>#REF!</v>
      </c>
      <c r="D689" s="92" t="e">
        <f>IF(Outline!$C$14&gt;0,Gradesheet!#REF!,Gradesheet!#REF!)</f>
        <v>#REF!</v>
      </c>
      <c r="E689" s="138" t="e">
        <f>IF(Outline!$C$14&gt;0,Gradesheet!#REF!,Gradesheet!#REF!)</f>
        <v>#REF!</v>
      </c>
      <c r="F689" s="138" t="e">
        <f>IF(Outline!$C$14&gt;0,Gradesheet!#REF!,"NA")</f>
        <v>#REF!</v>
      </c>
      <c r="G689" s="138" t="e">
        <f>IF(Outline!$C$14&gt;0,Gradesheet!#REF!,Gradesheet!#REF!)</f>
        <v>#REF!</v>
      </c>
      <c r="H689" s="139" t="e">
        <f t="shared" si="11"/>
        <v>#REF!</v>
      </c>
    </row>
    <row r="690" spans="2:8" hidden="1" x14ac:dyDescent="0.25">
      <c r="B690" s="90" t="e">
        <f>Gradesheet!#REF!</f>
        <v>#REF!</v>
      </c>
      <c r="C690" s="91" t="e">
        <f>(Gradesheet!#REF!)</f>
        <v>#REF!</v>
      </c>
      <c r="D690" s="92" t="e">
        <f>IF(Outline!$C$14&gt;0,Gradesheet!#REF!,Gradesheet!#REF!)</f>
        <v>#REF!</v>
      </c>
      <c r="E690" s="138" t="e">
        <f>IF(Outline!$C$14&gt;0,Gradesheet!#REF!,Gradesheet!#REF!)</f>
        <v>#REF!</v>
      </c>
      <c r="F690" s="138" t="e">
        <f>IF(Outline!$C$14&gt;0,Gradesheet!#REF!,"NA")</f>
        <v>#REF!</v>
      </c>
      <c r="G690" s="138" t="e">
        <f>IF(Outline!$C$14&gt;0,Gradesheet!#REF!,Gradesheet!#REF!)</f>
        <v>#REF!</v>
      </c>
      <c r="H690" s="139" t="e">
        <f t="shared" si="11"/>
        <v>#REF!</v>
      </c>
    </row>
    <row r="691" spans="2:8" hidden="1" x14ac:dyDescent="0.25">
      <c r="B691" s="90" t="e">
        <f>Gradesheet!#REF!</f>
        <v>#REF!</v>
      </c>
      <c r="C691" s="91" t="e">
        <f>(Gradesheet!#REF!)</f>
        <v>#REF!</v>
      </c>
      <c r="D691" s="92" t="e">
        <f>IF(Outline!$C$14&gt;0,Gradesheet!#REF!,Gradesheet!#REF!)</f>
        <v>#REF!</v>
      </c>
      <c r="E691" s="138" t="e">
        <f>IF(Outline!$C$14&gt;0,Gradesheet!#REF!,Gradesheet!#REF!)</f>
        <v>#REF!</v>
      </c>
      <c r="F691" s="138" t="e">
        <f>IF(Outline!$C$14&gt;0,Gradesheet!#REF!,"NA")</f>
        <v>#REF!</v>
      </c>
      <c r="G691" s="138" t="e">
        <f>IF(Outline!$C$14&gt;0,Gradesheet!#REF!,Gradesheet!#REF!)</f>
        <v>#REF!</v>
      </c>
      <c r="H691" s="139" t="e">
        <f t="shared" si="11"/>
        <v>#REF!</v>
      </c>
    </row>
    <row r="692" spans="2:8" hidden="1" x14ac:dyDescent="0.25">
      <c r="B692" s="90" t="e">
        <f>Gradesheet!#REF!</f>
        <v>#REF!</v>
      </c>
      <c r="C692" s="91" t="e">
        <f>(Gradesheet!#REF!)</f>
        <v>#REF!</v>
      </c>
      <c r="D692" s="92" t="e">
        <f>IF(Outline!$C$14&gt;0,Gradesheet!#REF!,Gradesheet!#REF!)</f>
        <v>#REF!</v>
      </c>
      <c r="E692" s="138" t="e">
        <f>IF(Outline!$C$14&gt;0,Gradesheet!#REF!,Gradesheet!#REF!)</f>
        <v>#REF!</v>
      </c>
      <c r="F692" s="138" t="e">
        <f>IF(Outline!$C$14&gt;0,Gradesheet!#REF!,"NA")</f>
        <v>#REF!</v>
      </c>
      <c r="G692" s="138" t="e">
        <f>IF(Outline!$C$14&gt;0,Gradesheet!#REF!,Gradesheet!#REF!)</f>
        <v>#REF!</v>
      </c>
      <c r="H692" s="139" t="e">
        <f t="shared" si="11"/>
        <v>#REF!</v>
      </c>
    </row>
    <row r="693" spans="2:8" hidden="1" x14ac:dyDescent="0.25">
      <c r="B693" s="90" t="e">
        <f>Gradesheet!#REF!</f>
        <v>#REF!</v>
      </c>
      <c r="C693" s="91" t="e">
        <f>(Gradesheet!#REF!)</f>
        <v>#REF!</v>
      </c>
      <c r="D693" s="92" t="e">
        <f>IF(Outline!$C$14&gt;0,Gradesheet!#REF!,Gradesheet!#REF!)</f>
        <v>#REF!</v>
      </c>
      <c r="E693" s="138" t="e">
        <f>IF(Outline!$C$14&gt;0,Gradesheet!#REF!,Gradesheet!#REF!)</f>
        <v>#REF!</v>
      </c>
      <c r="F693" s="138" t="e">
        <f>IF(Outline!$C$14&gt;0,Gradesheet!#REF!,"NA")</f>
        <v>#REF!</v>
      </c>
      <c r="G693" s="138" t="e">
        <f>IF(Outline!$C$14&gt;0,Gradesheet!#REF!,Gradesheet!#REF!)</f>
        <v>#REF!</v>
      </c>
      <c r="H693" s="139" t="e">
        <f t="shared" si="11"/>
        <v>#REF!</v>
      </c>
    </row>
    <row r="694" spans="2:8" hidden="1" x14ac:dyDescent="0.25">
      <c r="B694" s="90" t="e">
        <f>Gradesheet!#REF!</f>
        <v>#REF!</v>
      </c>
      <c r="C694" s="91" t="e">
        <f>(Gradesheet!#REF!)</f>
        <v>#REF!</v>
      </c>
      <c r="D694" s="92" t="e">
        <f>IF(Outline!$C$14&gt;0,Gradesheet!#REF!,Gradesheet!#REF!)</f>
        <v>#REF!</v>
      </c>
      <c r="E694" s="138" t="e">
        <f>IF(Outline!$C$14&gt;0,Gradesheet!#REF!,Gradesheet!#REF!)</f>
        <v>#REF!</v>
      </c>
      <c r="F694" s="138" t="e">
        <f>IF(Outline!$C$14&gt;0,Gradesheet!#REF!,"NA")</f>
        <v>#REF!</v>
      </c>
      <c r="G694" s="138" t="e">
        <f>IF(Outline!$C$14&gt;0,Gradesheet!#REF!,Gradesheet!#REF!)</f>
        <v>#REF!</v>
      </c>
      <c r="H694" s="139" t="e">
        <f t="shared" si="11"/>
        <v>#REF!</v>
      </c>
    </row>
    <row r="695" spans="2:8" hidden="1" x14ac:dyDescent="0.25">
      <c r="B695" s="90" t="e">
        <f>Gradesheet!#REF!</f>
        <v>#REF!</v>
      </c>
      <c r="C695" s="91" t="e">
        <f>(Gradesheet!#REF!)</f>
        <v>#REF!</v>
      </c>
      <c r="D695" s="92" t="e">
        <f>IF(Outline!$C$14&gt;0,Gradesheet!#REF!,Gradesheet!#REF!)</f>
        <v>#REF!</v>
      </c>
      <c r="E695" s="138" t="e">
        <f>IF(Outline!$C$14&gt;0,Gradesheet!#REF!,Gradesheet!#REF!)</f>
        <v>#REF!</v>
      </c>
      <c r="F695" s="138" t="e">
        <f>IF(Outline!$C$14&gt;0,Gradesheet!#REF!,"NA")</f>
        <v>#REF!</v>
      </c>
      <c r="G695" s="138" t="e">
        <f>IF(Outline!$C$14&gt;0,Gradesheet!#REF!,Gradesheet!#REF!)</f>
        <v>#REF!</v>
      </c>
      <c r="H695" s="139" t="e">
        <f t="shared" si="11"/>
        <v>#REF!</v>
      </c>
    </row>
    <row r="696" spans="2:8" hidden="1" x14ac:dyDescent="0.25">
      <c r="B696" s="90" t="e">
        <f>Gradesheet!#REF!</f>
        <v>#REF!</v>
      </c>
      <c r="C696" s="91" t="e">
        <f>(Gradesheet!#REF!)</f>
        <v>#REF!</v>
      </c>
      <c r="D696" s="92" t="e">
        <f>IF(Outline!$C$14&gt;0,Gradesheet!#REF!,Gradesheet!#REF!)</f>
        <v>#REF!</v>
      </c>
      <c r="E696" s="138" t="e">
        <f>IF(Outline!$C$14&gt;0,Gradesheet!#REF!,Gradesheet!#REF!)</f>
        <v>#REF!</v>
      </c>
      <c r="F696" s="138" t="e">
        <f>IF(Outline!$C$14&gt;0,Gradesheet!#REF!,"NA")</f>
        <v>#REF!</v>
      </c>
      <c r="G696" s="138" t="e">
        <f>IF(Outline!$C$14&gt;0,Gradesheet!#REF!,Gradesheet!#REF!)</f>
        <v>#REF!</v>
      </c>
      <c r="H696" s="139" t="e">
        <f t="shared" si="11"/>
        <v>#REF!</v>
      </c>
    </row>
    <row r="697" spans="2:8" hidden="1" x14ac:dyDescent="0.25">
      <c r="B697" s="90" t="e">
        <f>Gradesheet!#REF!</f>
        <v>#REF!</v>
      </c>
      <c r="C697" s="91" t="e">
        <f>(Gradesheet!#REF!)</f>
        <v>#REF!</v>
      </c>
      <c r="D697" s="92" t="e">
        <f>IF(Outline!$C$14&gt;0,Gradesheet!#REF!,Gradesheet!#REF!)</f>
        <v>#REF!</v>
      </c>
      <c r="E697" s="138" t="e">
        <f>IF(Outline!$C$14&gt;0,Gradesheet!#REF!,Gradesheet!#REF!)</f>
        <v>#REF!</v>
      </c>
      <c r="F697" s="138" t="e">
        <f>IF(Outline!$C$14&gt;0,Gradesheet!#REF!,"NA")</f>
        <v>#REF!</v>
      </c>
      <c r="G697" s="138" t="e">
        <f>IF(Outline!$C$14&gt;0,Gradesheet!#REF!,Gradesheet!#REF!)</f>
        <v>#REF!</v>
      </c>
      <c r="H697" s="139" t="e">
        <f t="shared" si="11"/>
        <v>#REF!</v>
      </c>
    </row>
    <row r="698" spans="2:8" hidden="1" x14ac:dyDescent="0.25">
      <c r="B698" s="90" t="e">
        <f>Gradesheet!#REF!</f>
        <v>#REF!</v>
      </c>
      <c r="C698" s="91" t="e">
        <f>(Gradesheet!#REF!)</f>
        <v>#REF!</v>
      </c>
      <c r="D698" s="92" t="e">
        <f>IF(Outline!$C$14&gt;0,Gradesheet!#REF!,Gradesheet!#REF!)</f>
        <v>#REF!</v>
      </c>
      <c r="E698" s="138" t="e">
        <f>IF(Outline!$C$14&gt;0,Gradesheet!#REF!,Gradesheet!#REF!)</f>
        <v>#REF!</v>
      </c>
      <c r="F698" s="138" t="e">
        <f>IF(Outline!$C$14&gt;0,Gradesheet!#REF!,"NA")</f>
        <v>#REF!</v>
      </c>
      <c r="G698" s="138" t="e">
        <f>IF(Outline!$C$14&gt;0,Gradesheet!#REF!,Gradesheet!#REF!)</f>
        <v>#REF!</v>
      </c>
      <c r="H698" s="139" t="e">
        <f t="shared" si="11"/>
        <v>#REF!</v>
      </c>
    </row>
    <row r="699" spans="2:8" hidden="1" x14ac:dyDescent="0.25">
      <c r="B699" s="90" t="e">
        <f>Gradesheet!#REF!</f>
        <v>#REF!</v>
      </c>
      <c r="C699" s="91" t="e">
        <f>(Gradesheet!#REF!)</f>
        <v>#REF!</v>
      </c>
      <c r="D699" s="92" t="e">
        <f>IF(Outline!$C$14&gt;0,Gradesheet!#REF!,Gradesheet!#REF!)</f>
        <v>#REF!</v>
      </c>
      <c r="E699" s="138" t="e">
        <f>IF(Outline!$C$14&gt;0,Gradesheet!#REF!,Gradesheet!#REF!)</f>
        <v>#REF!</v>
      </c>
      <c r="F699" s="138" t="e">
        <f>IF(Outline!$C$14&gt;0,Gradesheet!#REF!,"NA")</f>
        <v>#REF!</v>
      </c>
      <c r="G699" s="138" t="e">
        <f>IF(Outline!$C$14&gt;0,Gradesheet!#REF!,Gradesheet!#REF!)</f>
        <v>#REF!</v>
      </c>
      <c r="H699" s="139" t="e">
        <f t="shared" si="11"/>
        <v>#REF!</v>
      </c>
    </row>
    <row r="700" spans="2:8" hidden="1" x14ac:dyDescent="0.25">
      <c r="B700" s="90" t="e">
        <f>Gradesheet!#REF!</f>
        <v>#REF!</v>
      </c>
      <c r="C700" s="91" t="e">
        <f>(Gradesheet!#REF!)</f>
        <v>#REF!</v>
      </c>
      <c r="D700" s="92" t="e">
        <f>IF(Outline!$C$14&gt;0,Gradesheet!#REF!,Gradesheet!#REF!)</f>
        <v>#REF!</v>
      </c>
      <c r="E700" s="138" t="e">
        <f>IF(Outline!$C$14&gt;0,Gradesheet!#REF!,Gradesheet!#REF!)</f>
        <v>#REF!</v>
      </c>
      <c r="F700" s="138" t="e">
        <f>IF(Outline!$C$14&gt;0,Gradesheet!#REF!,"NA")</f>
        <v>#REF!</v>
      </c>
      <c r="G700" s="138" t="e">
        <f>IF(Outline!$C$14&gt;0,Gradesheet!#REF!,Gradesheet!#REF!)</f>
        <v>#REF!</v>
      </c>
      <c r="H700" s="139" t="e">
        <f t="shared" si="11"/>
        <v>#REF!</v>
      </c>
    </row>
    <row r="701" spans="2:8" hidden="1" x14ac:dyDescent="0.25">
      <c r="B701" s="90" t="e">
        <f>Gradesheet!#REF!</f>
        <v>#REF!</v>
      </c>
      <c r="C701" s="91" t="e">
        <f>(Gradesheet!#REF!)</f>
        <v>#REF!</v>
      </c>
      <c r="D701" s="92" t="e">
        <f>IF(Outline!$C$14&gt;0,Gradesheet!#REF!,Gradesheet!#REF!)</f>
        <v>#REF!</v>
      </c>
      <c r="E701" s="138" t="e">
        <f>IF(Outline!$C$14&gt;0,Gradesheet!#REF!,Gradesheet!#REF!)</f>
        <v>#REF!</v>
      </c>
      <c r="F701" s="138" t="e">
        <f>IF(Outline!$C$14&gt;0,Gradesheet!#REF!,"NA")</f>
        <v>#REF!</v>
      </c>
      <c r="G701" s="138" t="e">
        <f>IF(Outline!$C$14&gt;0,Gradesheet!#REF!,Gradesheet!#REF!)</f>
        <v>#REF!</v>
      </c>
      <c r="H701" s="139" t="e">
        <f t="shared" si="11"/>
        <v>#REF!</v>
      </c>
    </row>
    <row r="702" spans="2:8" hidden="1" x14ac:dyDescent="0.25">
      <c r="B702" s="90" t="e">
        <f>Gradesheet!#REF!</f>
        <v>#REF!</v>
      </c>
      <c r="C702" s="91" t="e">
        <f>(Gradesheet!#REF!)</f>
        <v>#REF!</v>
      </c>
      <c r="D702" s="92" t="e">
        <f>IF(Outline!$C$14&gt;0,Gradesheet!#REF!,Gradesheet!#REF!)</f>
        <v>#REF!</v>
      </c>
      <c r="E702" s="138" t="e">
        <f>IF(Outline!$C$14&gt;0,Gradesheet!#REF!,Gradesheet!#REF!)</f>
        <v>#REF!</v>
      </c>
      <c r="F702" s="138" t="e">
        <f>IF(Outline!$C$14&gt;0,Gradesheet!#REF!,"NA")</f>
        <v>#REF!</v>
      </c>
      <c r="G702" s="138" t="e">
        <f>IF(Outline!$C$14&gt;0,Gradesheet!#REF!,Gradesheet!#REF!)</f>
        <v>#REF!</v>
      </c>
      <c r="H702" s="139" t="e">
        <f t="shared" si="11"/>
        <v>#REF!</v>
      </c>
    </row>
    <row r="703" spans="2:8" hidden="1" x14ac:dyDescent="0.25">
      <c r="B703" s="90" t="e">
        <f>Gradesheet!#REF!</f>
        <v>#REF!</v>
      </c>
      <c r="C703" s="91" t="e">
        <f>(Gradesheet!#REF!)</f>
        <v>#REF!</v>
      </c>
      <c r="D703" s="92" t="e">
        <f>IF(Outline!$C$14&gt;0,Gradesheet!#REF!,Gradesheet!#REF!)</f>
        <v>#REF!</v>
      </c>
      <c r="E703" s="138" t="e">
        <f>IF(Outline!$C$14&gt;0,Gradesheet!#REF!,Gradesheet!#REF!)</f>
        <v>#REF!</v>
      </c>
      <c r="F703" s="138" t="e">
        <f>IF(Outline!$C$14&gt;0,Gradesheet!#REF!,"NA")</f>
        <v>#REF!</v>
      </c>
      <c r="G703" s="138" t="e">
        <f>IF(Outline!$C$14&gt;0,Gradesheet!#REF!,Gradesheet!#REF!)</f>
        <v>#REF!</v>
      </c>
      <c r="H703" s="139" t="e">
        <f t="shared" si="11"/>
        <v>#REF!</v>
      </c>
    </row>
    <row r="704" spans="2:8" hidden="1" x14ac:dyDescent="0.25">
      <c r="B704" s="90" t="e">
        <f>Gradesheet!#REF!</f>
        <v>#REF!</v>
      </c>
      <c r="C704" s="91" t="e">
        <f>(Gradesheet!#REF!)</f>
        <v>#REF!</v>
      </c>
      <c r="D704" s="92" t="e">
        <f>IF(Outline!$C$14&gt;0,Gradesheet!#REF!,Gradesheet!#REF!)</f>
        <v>#REF!</v>
      </c>
      <c r="E704" s="138" t="e">
        <f>IF(Outline!$C$14&gt;0,Gradesheet!#REF!,Gradesheet!#REF!)</f>
        <v>#REF!</v>
      </c>
      <c r="F704" s="138" t="e">
        <f>IF(Outline!$C$14&gt;0,Gradesheet!#REF!,"NA")</f>
        <v>#REF!</v>
      </c>
      <c r="G704" s="138" t="e">
        <f>IF(Outline!$C$14&gt;0,Gradesheet!#REF!,Gradesheet!#REF!)</f>
        <v>#REF!</v>
      </c>
      <c r="H704" s="139" t="e">
        <f t="shared" si="11"/>
        <v>#REF!</v>
      </c>
    </row>
    <row r="705" spans="2:8" hidden="1" x14ac:dyDescent="0.25">
      <c r="B705" s="90" t="e">
        <f>Gradesheet!#REF!</f>
        <v>#REF!</v>
      </c>
      <c r="C705" s="91" t="e">
        <f>(Gradesheet!#REF!)</f>
        <v>#REF!</v>
      </c>
      <c r="D705" s="92" t="e">
        <f>IF(Outline!$C$14&gt;0,Gradesheet!#REF!,Gradesheet!#REF!)</f>
        <v>#REF!</v>
      </c>
      <c r="E705" s="138" t="e">
        <f>IF(Outline!$C$14&gt;0,Gradesheet!#REF!,Gradesheet!#REF!)</f>
        <v>#REF!</v>
      </c>
      <c r="F705" s="138" t="e">
        <f>IF(Outline!$C$14&gt;0,Gradesheet!#REF!,"NA")</f>
        <v>#REF!</v>
      </c>
      <c r="G705" s="138" t="e">
        <f>IF(Outline!$C$14&gt;0,Gradesheet!#REF!,Gradesheet!#REF!)</f>
        <v>#REF!</v>
      </c>
      <c r="H705" s="139" t="e">
        <f t="shared" si="11"/>
        <v>#REF!</v>
      </c>
    </row>
    <row r="706" spans="2:8" hidden="1" x14ac:dyDescent="0.25">
      <c r="B706" s="90" t="e">
        <f>Gradesheet!#REF!</f>
        <v>#REF!</v>
      </c>
      <c r="C706" s="91" t="e">
        <f>(Gradesheet!#REF!)</f>
        <v>#REF!</v>
      </c>
      <c r="D706" s="92" t="e">
        <f>IF(Outline!$C$14&gt;0,Gradesheet!#REF!,Gradesheet!#REF!)</f>
        <v>#REF!</v>
      </c>
      <c r="E706" s="138" t="e">
        <f>IF(Outline!$C$14&gt;0,Gradesheet!#REF!,Gradesheet!#REF!)</f>
        <v>#REF!</v>
      </c>
      <c r="F706" s="138" t="e">
        <f>IF(Outline!$C$14&gt;0,Gradesheet!#REF!,"NA")</f>
        <v>#REF!</v>
      </c>
      <c r="G706" s="138" t="e">
        <f>IF(Outline!$C$14&gt;0,Gradesheet!#REF!,Gradesheet!#REF!)</f>
        <v>#REF!</v>
      </c>
      <c r="H706" s="139" t="e">
        <f t="shared" si="11"/>
        <v>#REF!</v>
      </c>
    </row>
    <row r="707" spans="2:8" hidden="1" x14ac:dyDescent="0.25">
      <c r="B707" s="90" t="e">
        <f>Gradesheet!#REF!</f>
        <v>#REF!</v>
      </c>
      <c r="C707" s="91" t="e">
        <f>(Gradesheet!#REF!)</f>
        <v>#REF!</v>
      </c>
      <c r="D707" s="92" t="e">
        <f>IF(Outline!$C$14&gt;0,Gradesheet!#REF!,Gradesheet!#REF!)</f>
        <v>#REF!</v>
      </c>
      <c r="E707" s="138" t="e">
        <f>IF(Outline!$C$14&gt;0,Gradesheet!#REF!,Gradesheet!#REF!)</f>
        <v>#REF!</v>
      </c>
      <c r="F707" s="138" t="e">
        <f>IF(Outline!$C$14&gt;0,Gradesheet!#REF!,"NA")</f>
        <v>#REF!</v>
      </c>
      <c r="G707" s="138" t="e">
        <f>IF(Outline!$C$14&gt;0,Gradesheet!#REF!,Gradesheet!#REF!)</f>
        <v>#REF!</v>
      </c>
      <c r="H707" s="139" t="e">
        <f t="shared" si="11"/>
        <v>#REF!</v>
      </c>
    </row>
    <row r="708" spans="2:8" hidden="1" x14ac:dyDescent="0.25">
      <c r="B708" s="90" t="e">
        <f>Gradesheet!#REF!</f>
        <v>#REF!</v>
      </c>
      <c r="C708" s="91" t="e">
        <f>(Gradesheet!#REF!)</f>
        <v>#REF!</v>
      </c>
      <c r="D708" s="92" t="e">
        <f>IF(Outline!$C$14&gt;0,Gradesheet!#REF!,Gradesheet!#REF!)</f>
        <v>#REF!</v>
      </c>
      <c r="E708" s="138" t="e">
        <f>IF(Outline!$C$14&gt;0,Gradesheet!#REF!,Gradesheet!#REF!)</f>
        <v>#REF!</v>
      </c>
      <c r="F708" s="138" t="e">
        <f>IF(Outline!$C$14&gt;0,Gradesheet!#REF!,"NA")</f>
        <v>#REF!</v>
      </c>
      <c r="G708" s="138" t="e">
        <f>IF(Outline!$C$14&gt;0,Gradesheet!#REF!,Gradesheet!#REF!)</f>
        <v>#REF!</v>
      </c>
      <c r="H708" s="139" t="e">
        <f t="shared" si="11"/>
        <v>#REF!</v>
      </c>
    </row>
    <row r="709" spans="2:8" hidden="1" x14ac:dyDescent="0.25">
      <c r="B709" s="90" t="e">
        <f>Gradesheet!#REF!</f>
        <v>#REF!</v>
      </c>
      <c r="C709" s="91" t="e">
        <f>(Gradesheet!#REF!)</f>
        <v>#REF!</v>
      </c>
      <c r="D709" s="92" t="e">
        <f>IF(Outline!$C$14&gt;0,Gradesheet!#REF!,Gradesheet!#REF!)</f>
        <v>#REF!</v>
      </c>
      <c r="E709" s="138" t="e">
        <f>IF(Outline!$C$14&gt;0,Gradesheet!#REF!,Gradesheet!#REF!)</f>
        <v>#REF!</v>
      </c>
      <c r="F709" s="138" t="e">
        <f>IF(Outline!$C$14&gt;0,Gradesheet!#REF!,"NA")</f>
        <v>#REF!</v>
      </c>
      <c r="G709" s="138" t="e">
        <f>IF(Outline!$C$14&gt;0,Gradesheet!#REF!,Gradesheet!#REF!)</f>
        <v>#REF!</v>
      </c>
      <c r="H709" s="139" t="e">
        <f t="shared" si="11"/>
        <v>#REF!</v>
      </c>
    </row>
    <row r="710" spans="2:8" hidden="1" x14ac:dyDescent="0.25">
      <c r="B710" s="90" t="e">
        <f>Gradesheet!#REF!</f>
        <v>#REF!</v>
      </c>
      <c r="C710" s="91" t="e">
        <f>(Gradesheet!#REF!)</f>
        <v>#REF!</v>
      </c>
      <c r="D710" s="92" t="e">
        <f>IF(Outline!$C$14&gt;0,Gradesheet!#REF!,Gradesheet!#REF!)</f>
        <v>#REF!</v>
      </c>
      <c r="E710" s="138" t="e">
        <f>IF(Outline!$C$14&gt;0,Gradesheet!#REF!,Gradesheet!#REF!)</f>
        <v>#REF!</v>
      </c>
      <c r="F710" s="138" t="e">
        <f>IF(Outline!$C$14&gt;0,Gradesheet!#REF!,"NA")</f>
        <v>#REF!</v>
      </c>
      <c r="G710" s="138" t="e">
        <f>IF(Outline!$C$14&gt;0,Gradesheet!#REF!,Gradesheet!#REF!)</f>
        <v>#REF!</v>
      </c>
      <c r="H710" s="139" t="e">
        <f t="shared" si="11"/>
        <v>#REF!</v>
      </c>
    </row>
    <row r="711" spans="2:8" hidden="1" x14ac:dyDescent="0.25">
      <c r="B711" s="90" t="e">
        <f>Gradesheet!#REF!</f>
        <v>#REF!</v>
      </c>
      <c r="C711" s="91" t="e">
        <f>(Gradesheet!#REF!)</f>
        <v>#REF!</v>
      </c>
      <c r="D711" s="92" t="e">
        <f>IF(Outline!$C$14&gt;0,Gradesheet!#REF!,Gradesheet!#REF!)</f>
        <v>#REF!</v>
      </c>
      <c r="E711" s="138" t="e">
        <f>IF(Outline!$C$14&gt;0,Gradesheet!#REF!,Gradesheet!#REF!)</f>
        <v>#REF!</v>
      </c>
      <c r="F711" s="138" t="e">
        <f>IF(Outline!$C$14&gt;0,Gradesheet!#REF!,"NA")</f>
        <v>#REF!</v>
      </c>
      <c r="G711" s="138" t="e">
        <f>IF(Outline!$C$14&gt;0,Gradesheet!#REF!,Gradesheet!#REF!)</f>
        <v>#REF!</v>
      </c>
      <c r="H711" s="139" t="e">
        <f t="shared" ref="H711:H774" si="12">SUM(D711:G711)</f>
        <v>#REF!</v>
      </c>
    </row>
    <row r="712" spans="2:8" hidden="1" x14ac:dyDescent="0.25">
      <c r="B712" s="90" t="e">
        <f>Gradesheet!#REF!</f>
        <v>#REF!</v>
      </c>
      <c r="C712" s="91" t="e">
        <f>(Gradesheet!#REF!)</f>
        <v>#REF!</v>
      </c>
      <c r="D712" s="92" t="e">
        <f>IF(Outline!$C$14&gt;0,Gradesheet!#REF!,Gradesheet!#REF!)</f>
        <v>#REF!</v>
      </c>
      <c r="E712" s="138" t="e">
        <f>IF(Outline!$C$14&gt;0,Gradesheet!#REF!,Gradesheet!#REF!)</f>
        <v>#REF!</v>
      </c>
      <c r="F712" s="138" t="e">
        <f>IF(Outline!$C$14&gt;0,Gradesheet!#REF!,"NA")</f>
        <v>#REF!</v>
      </c>
      <c r="G712" s="138" t="e">
        <f>IF(Outline!$C$14&gt;0,Gradesheet!#REF!,Gradesheet!#REF!)</f>
        <v>#REF!</v>
      </c>
      <c r="H712" s="139" t="e">
        <f t="shared" si="12"/>
        <v>#REF!</v>
      </c>
    </row>
    <row r="713" spans="2:8" hidden="1" x14ac:dyDescent="0.25">
      <c r="B713" s="90" t="e">
        <f>Gradesheet!#REF!</f>
        <v>#REF!</v>
      </c>
      <c r="C713" s="91" t="e">
        <f>(Gradesheet!#REF!)</f>
        <v>#REF!</v>
      </c>
      <c r="D713" s="92" t="e">
        <f>IF(Outline!$C$14&gt;0,Gradesheet!#REF!,Gradesheet!#REF!)</f>
        <v>#REF!</v>
      </c>
      <c r="E713" s="138" t="e">
        <f>IF(Outline!$C$14&gt;0,Gradesheet!#REF!,Gradesheet!#REF!)</f>
        <v>#REF!</v>
      </c>
      <c r="F713" s="138" t="e">
        <f>IF(Outline!$C$14&gt;0,Gradesheet!#REF!,"NA")</f>
        <v>#REF!</v>
      </c>
      <c r="G713" s="138" t="e">
        <f>IF(Outline!$C$14&gt;0,Gradesheet!#REF!,Gradesheet!#REF!)</f>
        <v>#REF!</v>
      </c>
      <c r="H713" s="139" t="e">
        <f t="shared" si="12"/>
        <v>#REF!</v>
      </c>
    </row>
    <row r="714" spans="2:8" hidden="1" x14ac:dyDescent="0.25">
      <c r="B714" s="90" t="e">
        <f>Gradesheet!#REF!</f>
        <v>#REF!</v>
      </c>
      <c r="C714" s="91" t="e">
        <f>(Gradesheet!#REF!)</f>
        <v>#REF!</v>
      </c>
      <c r="D714" s="92" t="e">
        <f>IF(Outline!$C$14&gt;0,Gradesheet!#REF!,Gradesheet!#REF!)</f>
        <v>#REF!</v>
      </c>
      <c r="E714" s="138" t="e">
        <f>IF(Outline!$C$14&gt;0,Gradesheet!#REF!,Gradesheet!#REF!)</f>
        <v>#REF!</v>
      </c>
      <c r="F714" s="138" t="e">
        <f>IF(Outline!$C$14&gt;0,Gradesheet!#REF!,"NA")</f>
        <v>#REF!</v>
      </c>
      <c r="G714" s="138" t="e">
        <f>IF(Outline!$C$14&gt;0,Gradesheet!#REF!,Gradesheet!#REF!)</f>
        <v>#REF!</v>
      </c>
      <c r="H714" s="139" t="e">
        <f t="shared" si="12"/>
        <v>#REF!</v>
      </c>
    </row>
    <row r="715" spans="2:8" hidden="1" x14ac:dyDescent="0.25">
      <c r="B715" s="90" t="e">
        <f>Gradesheet!#REF!</f>
        <v>#REF!</v>
      </c>
      <c r="C715" s="91" t="e">
        <f>(Gradesheet!#REF!)</f>
        <v>#REF!</v>
      </c>
      <c r="D715" s="92" t="e">
        <f>IF(Outline!$C$14&gt;0,Gradesheet!#REF!,Gradesheet!#REF!)</f>
        <v>#REF!</v>
      </c>
      <c r="E715" s="138" t="e">
        <f>IF(Outline!$C$14&gt;0,Gradesheet!#REF!,Gradesheet!#REF!)</f>
        <v>#REF!</v>
      </c>
      <c r="F715" s="138" t="e">
        <f>IF(Outline!$C$14&gt;0,Gradesheet!#REF!,"NA")</f>
        <v>#REF!</v>
      </c>
      <c r="G715" s="138" t="e">
        <f>IF(Outline!$C$14&gt;0,Gradesheet!#REF!,Gradesheet!#REF!)</f>
        <v>#REF!</v>
      </c>
      <c r="H715" s="139" t="e">
        <f t="shared" si="12"/>
        <v>#REF!</v>
      </c>
    </row>
    <row r="716" spans="2:8" hidden="1" x14ac:dyDescent="0.25">
      <c r="B716" s="90" t="e">
        <f>Gradesheet!#REF!</f>
        <v>#REF!</v>
      </c>
      <c r="C716" s="91" t="e">
        <f>(Gradesheet!#REF!)</f>
        <v>#REF!</v>
      </c>
      <c r="D716" s="92" t="e">
        <f>IF(Outline!$C$14&gt;0,Gradesheet!#REF!,Gradesheet!#REF!)</f>
        <v>#REF!</v>
      </c>
      <c r="E716" s="138" t="e">
        <f>IF(Outline!$C$14&gt;0,Gradesheet!#REF!,Gradesheet!#REF!)</f>
        <v>#REF!</v>
      </c>
      <c r="F716" s="138" t="e">
        <f>IF(Outline!$C$14&gt;0,Gradesheet!#REF!,"NA")</f>
        <v>#REF!</v>
      </c>
      <c r="G716" s="138" t="e">
        <f>IF(Outline!$C$14&gt;0,Gradesheet!#REF!,Gradesheet!#REF!)</f>
        <v>#REF!</v>
      </c>
      <c r="H716" s="139" t="e">
        <f t="shared" si="12"/>
        <v>#REF!</v>
      </c>
    </row>
    <row r="717" spans="2:8" hidden="1" x14ac:dyDescent="0.25">
      <c r="B717" s="90" t="e">
        <f>Gradesheet!#REF!</f>
        <v>#REF!</v>
      </c>
      <c r="C717" s="91" t="e">
        <f>(Gradesheet!#REF!)</f>
        <v>#REF!</v>
      </c>
      <c r="D717" s="92" t="e">
        <f>IF(Outline!$C$14&gt;0,Gradesheet!#REF!,Gradesheet!#REF!)</f>
        <v>#REF!</v>
      </c>
      <c r="E717" s="138" t="e">
        <f>IF(Outline!$C$14&gt;0,Gradesheet!#REF!,Gradesheet!#REF!)</f>
        <v>#REF!</v>
      </c>
      <c r="F717" s="138" t="e">
        <f>IF(Outline!$C$14&gt;0,Gradesheet!#REF!,"NA")</f>
        <v>#REF!</v>
      </c>
      <c r="G717" s="138" t="e">
        <f>IF(Outline!$C$14&gt;0,Gradesheet!#REF!,Gradesheet!#REF!)</f>
        <v>#REF!</v>
      </c>
      <c r="H717" s="139" t="e">
        <f t="shared" si="12"/>
        <v>#REF!</v>
      </c>
    </row>
    <row r="718" spans="2:8" hidden="1" x14ac:dyDescent="0.25">
      <c r="B718" s="90" t="e">
        <f>Gradesheet!#REF!</f>
        <v>#REF!</v>
      </c>
      <c r="C718" s="91" t="e">
        <f>(Gradesheet!#REF!)</f>
        <v>#REF!</v>
      </c>
      <c r="D718" s="92" t="e">
        <f>IF(Outline!$C$14&gt;0,Gradesheet!#REF!,Gradesheet!#REF!)</f>
        <v>#REF!</v>
      </c>
      <c r="E718" s="138" t="e">
        <f>IF(Outline!$C$14&gt;0,Gradesheet!#REF!,Gradesheet!#REF!)</f>
        <v>#REF!</v>
      </c>
      <c r="F718" s="138" t="e">
        <f>IF(Outline!$C$14&gt;0,Gradesheet!#REF!,"NA")</f>
        <v>#REF!</v>
      </c>
      <c r="G718" s="138" t="e">
        <f>IF(Outline!$C$14&gt;0,Gradesheet!#REF!,Gradesheet!#REF!)</f>
        <v>#REF!</v>
      </c>
      <c r="H718" s="139" t="e">
        <f t="shared" si="12"/>
        <v>#REF!</v>
      </c>
    </row>
    <row r="719" spans="2:8" hidden="1" x14ac:dyDescent="0.25">
      <c r="B719" s="90" t="e">
        <f>Gradesheet!#REF!</f>
        <v>#REF!</v>
      </c>
      <c r="C719" s="91" t="e">
        <f>(Gradesheet!#REF!)</f>
        <v>#REF!</v>
      </c>
      <c r="D719" s="92" t="e">
        <f>IF(Outline!$C$14&gt;0,Gradesheet!#REF!,Gradesheet!#REF!)</f>
        <v>#REF!</v>
      </c>
      <c r="E719" s="138" t="e">
        <f>IF(Outline!$C$14&gt;0,Gradesheet!#REF!,Gradesheet!#REF!)</f>
        <v>#REF!</v>
      </c>
      <c r="F719" s="138" t="e">
        <f>IF(Outline!$C$14&gt;0,Gradesheet!#REF!,"NA")</f>
        <v>#REF!</v>
      </c>
      <c r="G719" s="138" t="e">
        <f>IF(Outline!$C$14&gt;0,Gradesheet!#REF!,Gradesheet!#REF!)</f>
        <v>#REF!</v>
      </c>
      <c r="H719" s="139" t="e">
        <f t="shared" si="12"/>
        <v>#REF!</v>
      </c>
    </row>
    <row r="720" spans="2:8" hidden="1" x14ac:dyDescent="0.25">
      <c r="B720" s="90" t="e">
        <f>Gradesheet!#REF!</f>
        <v>#REF!</v>
      </c>
      <c r="C720" s="91" t="e">
        <f>(Gradesheet!#REF!)</f>
        <v>#REF!</v>
      </c>
      <c r="D720" s="92" t="e">
        <f>IF(Outline!$C$14&gt;0,Gradesheet!#REF!,Gradesheet!#REF!)</f>
        <v>#REF!</v>
      </c>
      <c r="E720" s="138" t="e">
        <f>IF(Outline!$C$14&gt;0,Gradesheet!#REF!,Gradesheet!#REF!)</f>
        <v>#REF!</v>
      </c>
      <c r="F720" s="138" t="e">
        <f>IF(Outline!$C$14&gt;0,Gradesheet!#REF!,"NA")</f>
        <v>#REF!</v>
      </c>
      <c r="G720" s="138" t="e">
        <f>IF(Outline!$C$14&gt;0,Gradesheet!#REF!,Gradesheet!#REF!)</f>
        <v>#REF!</v>
      </c>
      <c r="H720" s="139" t="e">
        <f t="shared" si="12"/>
        <v>#REF!</v>
      </c>
    </row>
    <row r="721" spans="2:8" hidden="1" x14ac:dyDescent="0.25">
      <c r="B721" s="90" t="e">
        <f>Gradesheet!#REF!</f>
        <v>#REF!</v>
      </c>
      <c r="C721" s="91" t="e">
        <f>(Gradesheet!#REF!)</f>
        <v>#REF!</v>
      </c>
      <c r="D721" s="92" t="e">
        <f>IF(Outline!$C$14&gt;0,Gradesheet!#REF!,Gradesheet!#REF!)</f>
        <v>#REF!</v>
      </c>
      <c r="E721" s="138" t="e">
        <f>IF(Outline!$C$14&gt;0,Gradesheet!#REF!,Gradesheet!#REF!)</f>
        <v>#REF!</v>
      </c>
      <c r="F721" s="138" t="e">
        <f>IF(Outline!$C$14&gt;0,Gradesheet!#REF!,"NA")</f>
        <v>#REF!</v>
      </c>
      <c r="G721" s="138" t="e">
        <f>IF(Outline!$C$14&gt;0,Gradesheet!#REF!,Gradesheet!#REF!)</f>
        <v>#REF!</v>
      </c>
      <c r="H721" s="139" t="e">
        <f t="shared" si="12"/>
        <v>#REF!</v>
      </c>
    </row>
    <row r="722" spans="2:8" hidden="1" x14ac:dyDescent="0.25">
      <c r="B722" s="90" t="e">
        <f>Gradesheet!#REF!</f>
        <v>#REF!</v>
      </c>
      <c r="C722" s="91" t="e">
        <f>(Gradesheet!#REF!)</f>
        <v>#REF!</v>
      </c>
      <c r="D722" s="92" t="e">
        <f>IF(Outline!$C$14&gt;0,Gradesheet!#REF!,Gradesheet!#REF!)</f>
        <v>#REF!</v>
      </c>
      <c r="E722" s="138" t="e">
        <f>IF(Outline!$C$14&gt;0,Gradesheet!#REF!,Gradesheet!#REF!)</f>
        <v>#REF!</v>
      </c>
      <c r="F722" s="138" t="e">
        <f>IF(Outline!$C$14&gt;0,Gradesheet!#REF!,"NA")</f>
        <v>#REF!</v>
      </c>
      <c r="G722" s="138" t="e">
        <f>IF(Outline!$C$14&gt;0,Gradesheet!#REF!,Gradesheet!#REF!)</f>
        <v>#REF!</v>
      </c>
      <c r="H722" s="139" t="e">
        <f t="shared" si="12"/>
        <v>#REF!</v>
      </c>
    </row>
    <row r="723" spans="2:8" hidden="1" x14ac:dyDescent="0.25">
      <c r="B723" s="90" t="e">
        <f>Gradesheet!#REF!</f>
        <v>#REF!</v>
      </c>
      <c r="C723" s="91" t="e">
        <f>(Gradesheet!#REF!)</f>
        <v>#REF!</v>
      </c>
      <c r="D723" s="92" t="e">
        <f>IF(Outline!$C$14&gt;0,Gradesheet!#REF!,Gradesheet!#REF!)</f>
        <v>#REF!</v>
      </c>
      <c r="E723" s="138" t="e">
        <f>IF(Outline!$C$14&gt;0,Gradesheet!#REF!,Gradesheet!#REF!)</f>
        <v>#REF!</v>
      </c>
      <c r="F723" s="138" t="e">
        <f>IF(Outline!$C$14&gt;0,Gradesheet!#REF!,"NA")</f>
        <v>#REF!</v>
      </c>
      <c r="G723" s="138" t="e">
        <f>IF(Outline!$C$14&gt;0,Gradesheet!#REF!,Gradesheet!#REF!)</f>
        <v>#REF!</v>
      </c>
      <c r="H723" s="139" t="e">
        <f t="shared" si="12"/>
        <v>#REF!</v>
      </c>
    </row>
    <row r="724" spans="2:8" hidden="1" x14ac:dyDescent="0.25">
      <c r="B724" s="90" t="e">
        <f>Gradesheet!#REF!</f>
        <v>#REF!</v>
      </c>
      <c r="C724" s="91" t="e">
        <f>(Gradesheet!#REF!)</f>
        <v>#REF!</v>
      </c>
      <c r="D724" s="92" t="e">
        <f>IF(Outline!$C$14&gt;0,Gradesheet!#REF!,Gradesheet!#REF!)</f>
        <v>#REF!</v>
      </c>
      <c r="E724" s="138" t="e">
        <f>IF(Outline!$C$14&gt;0,Gradesheet!#REF!,Gradesheet!#REF!)</f>
        <v>#REF!</v>
      </c>
      <c r="F724" s="138" t="e">
        <f>IF(Outline!$C$14&gt;0,Gradesheet!#REF!,"NA")</f>
        <v>#REF!</v>
      </c>
      <c r="G724" s="138" t="e">
        <f>IF(Outline!$C$14&gt;0,Gradesheet!#REF!,Gradesheet!#REF!)</f>
        <v>#REF!</v>
      </c>
      <c r="H724" s="139" t="e">
        <f t="shared" si="12"/>
        <v>#REF!</v>
      </c>
    </row>
    <row r="725" spans="2:8" hidden="1" x14ac:dyDescent="0.25">
      <c r="B725" s="90" t="e">
        <f>Gradesheet!#REF!</f>
        <v>#REF!</v>
      </c>
      <c r="C725" s="91" t="e">
        <f>(Gradesheet!#REF!)</f>
        <v>#REF!</v>
      </c>
      <c r="D725" s="92" t="e">
        <f>IF(Outline!$C$14&gt;0,Gradesheet!#REF!,Gradesheet!#REF!)</f>
        <v>#REF!</v>
      </c>
      <c r="E725" s="138" t="e">
        <f>IF(Outline!$C$14&gt;0,Gradesheet!#REF!,Gradesheet!#REF!)</f>
        <v>#REF!</v>
      </c>
      <c r="F725" s="138" t="e">
        <f>IF(Outline!$C$14&gt;0,Gradesheet!#REF!,"NA")</f>
        <v>#REF!</v>
      </c>
      <c r="G725" s="138" t="e">
        <f>IF(Outline!$C$14&gt;0,Gradesheet!#REF!,Gradesheet!#REF!)</f>
        <v>#REF!</v>
      </c>
      <c r="H725" s="139" t="e">
        <f t="shared" si="12"/>
        <v>#REF!</v>
      </c>
    </row>
    <row r="726" spans="2:8" hidden="1" x14ac:dyDescent="0.25">
      <c r="B726" s="90" t="e">
        <f>Gradesheet!#REF!</f>
        <v>#REF!</v>
      </c>
      <c r="C726" s="91" t="e">
        <f>(Gradesheet!#REF!)</f>
        <v>#REF!</v>
      </c>
      <c r="D726" s="92" t="e">
        <f>IF(Outline!$C$14&gt;0,Gradesheet!#REF!,Gradesheet!#REF!)</f>
        <v>#REF!</v>
      </c>
      <c r="E726" s="138" t="e">
        <f>IF(Outline!$C$14&gt;0,Gradesheet!#REF!,Gradesheet!#REF!)</f>
        <v>#REF!</v>
      </c>
      <c r="F726" s="138" t="e">
        <f>IF(Outline!$C$14&gt;0,Gradesheet!#REF!,"NA")</f>
        <v>#REF!</v>
      </c>
      <c r="G726" s="138" t="e">
        <f>IF(Outline!$C$14&gt;0,Gradesheet!#REF!,Gradesheet!#REF!)</f>
        <v>#REF!</v>
      </c>
      <c r="H726" s="139" t="e">
        <f t="shared" si="12"/>
        <v>#REF!</v>
      </c>
    </row>
    <row r="727" spans="2:8" hidden="1" x14ac:dyDescent="0.25">
      <c r="B727" s="90" t="e">
        <f>Gradesheet!#REF!</f>
        <v>#REF!</v>
      </c>
      <c r="C727" s="91" t="e">
        <f>(Gradesheet!#REF!)</f>
        <v>#REF!</v>
      </c>
      <c r="D727" s="92" t="e">
        <f>IF(Outline!$C$14&gt;0,Gradesheet!#REF!,Gradesheet!#REF!)</f>
        <v>#REF!</v>
      </c>
      <c r="E727" s="138" t="e">
        <f>IF(Outline!$C$14&gt;0,Gradesheet!#REF!,Gradesheet!#REF!)</f>
        <v>#REF!</v>
      </c>
      <c r="F727" s="138" t="e">
        <f>IF(Outline!$C$14&gt;0,Gradesheet!#REF!,"NA")</f>
        <v>#REF!</v>
      </c>
      <c r="G727" s="138" t="e">
        <f>IF(Outline!$C$14&gt;0,Gradesheet!#REF!,Gradesheet!#REF!)</f>
        <v>#REF!</v>
      </c>
      <c r="H727" s="139" t="e">
        <f t="shared" si="12"/>
        <v>#REF!</v>
      </c>
    </row>
    <row r="728" spans="2:8" hidden="1" x14ac:dyDescent="0.25">
      <c r="B728" s="90" t="e">
        <f>Gradesheet!#REF!</f>
        <v>#REF!</v>
      </c>
      <c r="C728" s="91" t="e">
        <f>(Gradesheet!#REF!)</f>
        <v>#REF!</v>
      </c>
      <c r="D728" s="92" t="e">
        <f>IF(Outline!$C$14&gt;0,Gradesheet!#REF!,Gradesheet!#REF!)</f>
        <v>#REF!</v>
      </c>
      <c r="E728" s="138" t="e">
        <f>IF(Outline!$C$14&gt;0,Gradesheet!#REF!,Gradesheet!#REF!)</f>
        <v>#REF!</v>
      </c>
      <c r="F728" s="138" t="e">
        <f>IF(Outline!$C$14&gt;0,Gradesheet!#REF!,"NA")</f>
        <v>#REF!</v>
      </c>
      <c r="G728" s="138" t="e">
        <f>IF(Outline!$C$14&gt;0,Gradesheet!#REF!,Gradesheet!#REF!)</f>
        <v>#REF!</v>
      </c>
      <c r="H728" s="139" t="e">
        <f t="shared" si="12"/>
        <v>#REF!</v>
      </c>
    </row>
    <row r="729" spans="2:8" hidden="1" x14ac:dyDescent="0.25">
      <c r="B729" s="90" t="e">
        <f>Gradesheet!#REF!</f>
        <v>#REF!</v>
      </c>
      <c r="C729" s="91" t="e">
        <f>(Gradesheet!#REF!)</f>
        <v>#REF!</v>
      </c>
      <c r="D729" s="92" t="e">
        <f>IF(Outline!$C$14&gt;0,Gradesheet!#REF!,Gradesheet!#REF!)</f>
        <v>#REF!</v>
      </c>
      <c r="E729" s="138" t="e">
        <f>IF(Outline!$C$14&gt;0,Gradesheet!#REF!,Gradesheet!#REF!)</f>
        <v>#REF!</v>
      </c>
      <c r="F729" s="138" t="e">
        <f>IF(Outline!$C$14&gt;0,Gradesheet!#REF!,"NA")</f>
        <v>#REF!</v>
      </c>
      <c r="G729" s="138" t="e">
        <f>IF(Outline!$C$14&gt;0,Gradesheet!#REF!,Gradesheet!#REF!)</f>
        <v>#REF!</v>
      </c>
      <c r="H729" s="139" t="e">
        <f t="shared" si="12"/>
        <v>#REF!</v>
      </c>
    </row>
    <row r="730" spans="2:8" hidden="1" x14ac:dyDescent="0.25">
      <c r="B730" s="90" t="e">
        <f>Gradesheet!#REF!</f>
        <v>#REF!</v>
      </c>
      <c r="C730" s="91" t="e">
        <f>(Gradesheet!#REF!)</f>
        <v>#REF!</v>
      </c>
      <c r="D730" s="92" t="e">
        <f>IF(Outline!$C$14&gt;0,Gradesheet!#REF!,Gradesheet!#REF!)</f>
        <v>#REF!</v>
      </c>
      <c r="E730" s="138" t="e">
        <f>IF(Outline!$C$14&gt;0,Gradesheet!#REF!,Gradesheet!#REF!)</f>
        <v>#REF!</v>
      </c>
      <c r="F730" s="138" t="e">
        <f>IF(Outline!$C$14&gt;0,Gradesheet!#REF!,"NA")</f>
        <v>#REF!</v>
      </c>
      <c r="G730" s="138" t="e">
        <f>IF(Outline!$C$14&gt;0,Gradesheet!#REF!,Gradesheet!#REF!)</f>
        <v>#REF!</v>
      </c>
      <c r="H730" s="139" t="e">
        <f t="shared" si="12"/>
        <v>#REF!</v>
      </c>
    </row>
    <row r="731" spans="2:8" hidden="1" x14ac:dyDescent="0.25">
      <c r="B731" s="90" t="e">
        <f>Gradesheet!#REF!</f>
        <v>#REF!</v>
      </c>
      <c r="C731" s="91" t="e">
        <f>(Gradesheet!#REF!)</f>
        <v>#REF!</v>
      </c>
      <c r="D731" s="92" t="e">
        <f>IF(Outline!$C$14&gt;0,Gradesheet!#REF!,Gradesheet!#REF!)</f>
        <v>#REF!</v>
      </c>
      <c r="E731" s="138" t="e">
        <f>IF(Outline!$C$14&gt;0,Gradesheet!#REF!,Gradesheet!#REF!)</f>
        <v>#REF!</v>
      </c>
      <c r="F731" s="138" t="e">
        <f>IF(Outline!$C$14&gt;0,Gradesheet!#REF!,"NA")</f>
        <v>#REF!</v>
      </c>
      <c r="G731" s="138" t="e">
        <f>IF(Outline!$C$14&gt;0,Gradesheet!#REF!,Gradesheet!#REF!)</f>
        <v>#REF!</v>
      </c>
      <c r="H731" s="139" t="e">
        <f t="shared" si="12"/>
        <v>#REF!</v>
      </c>
    </row>
    <row r="732" spans="2:8" hidden="1" x14ac:dyDescent="0.25">
      <c r="B732" s="90" t="e">
        <f>Gradesheet!#REF!</f>
        <v>#REF!</v>
      </c>
      <c r="C732" s="91" t="e">
        <f>(Gradesheet!#REF!)</f>
        <v>#REF!</v>
      </c>
      <c r="D732" s="92" t="e">
        <f>IF(Outline!$C$14&gt;0,Gradesheet!#REF!,Gradesheet!#REF!)</f>
        <v>#REF!</v>
      </c>
      <c r="E732" s="138" t="e">
        <f>IF(Outline!$C$14&gt;0,Gradesheet!#REF!,Gradesheet!#REF!)</f>
        <v>#REF!</v>
      </c>
      <c r="F732" s="138" t="e">
        <f>IF(Outline!$C$14&gt;0,Gradesheet!#REF!,"NA")</f>
        <v>#REF!</v>
      </c>
      <c r="G732" s="138" t="e">
        <f>IF(Outline!$C$14&gt;0,Gradesheet!#REF!,Gradesheet!#REF!)</f>
        <v>#REF!</v>
      </c>
      <c r="H732" s="139" t="e">
        <f t="shared" si="12"/>
        <v>#REF!</v>
      </c>
    </row>
    <row r="733" spans="2:8" hidden="1" x14ac:dyDescent="0.25">
      <c r="B733" s="90" t="e">
        <f>Gradesheet!#REF!</f>
        <v>#REF!</v>
      </c>
      <c r="C733" s="91" t="e">
        <f>(Gradesheet!#REF!)</f>
        <v>#REF!</v>
      </c>
      <c r="D733" s="92" t="e">
        <f>IF(Outline!$C$14&gt;0,Gradesheet!#REF!,Gradesheet!#REF!)</f>
        <v>#REF!</v>
      </c>
      <c r="E733" s="138" t="e">
        <f>IF(Outline!$C$14&gt;0,Gradesheet!#REF!,Gradesheet!#REF!)</f>
        <v>#REF!</v>
      </c>
      <c r="F733" s="138" t="e">
        <f>IF(Outline!$C$14&gt;0,Gradesheet!#REF!,"NA")</f>
        <v>#REF!</v>
      </c>
      <c r="G733" s="138" t="e">
        <f>IF(Outline!$C$14&gt;0,Gradesheet!#REF!,Gradesheet!#REF!)</f>
        <v>#REF!</v>
      </c>
      <c r="H733" s="139" t="e">
        <f t="shared" si="12"/>
        <v>#REF!</v>
      </c>
    </row>
    <row r="734" spans="2:8" hidden="1" x14ac:dyDescent="0.25">
      <c r="B734" s="90" t="e">
        <f>Gradesheet!#REF!</f>
        <v>#REF!</v>
      </c>
      <c r="C734" s="91" t="e">
        <f>(Gradesheet!#REF!)</f>
        <v>#REF!</v>
      </c>
      <c r="D734" s="92" t="e">
        <f>IF(Outline!$C$14&gt;0,Gradesheet!#REF!,Gradesheet!#REF!)</f>
        <v>#REF!</v>
      </c>
      <c r="E734" s="138" t="e">
        <f>IF(Outline!$C$14&gt;0,Gradesheet!#REF!,Gradesheet!#REF!)</f>
        <v>#REF!</v>
      </c>
      <c r="F734" s="138" t="e">
        <f>IF(Outline!$C$14&gt;0,Gradesheet!#REF!,"NA")</f>
        <v>#REF!</v>
      </c>
      <c r="G734" s="138" t="e">
        <f>IF(Outline!$C$14&gt;0,Gradesheet!#REF!,Gradesheet!#REF!)</f>
        <v>#REF!</v>
      </c>
      <c r="H734" s="139" t="e">
        <f t="shared" si="12"/>
        <v>#REF!</v>
      </c>
    </row>
    <row r="735" spans="2:8" hidden="1" x14ac:dyDescent="0.25">
      <c r="B735" s="90" t="e">
        <f>Gradesheet!#REF!</f>
        <v>#REF!</v>
      </c>
      <c r="C735" s="91" t="e">
        <f>(Gradesheet!#REF!)</f>
        <v>#REF!</v>
      </c>
      <c r="D735" s="92" t="e">
        <f>IF(Outline!$C$14&gt;0,Gradesheet!#REF!,Gradesheet!#REF!)</f>
        <v>#REF!</v>
      </c>
      <c r="E735" s="138" t="e">
        <f>IF(Outline!$C$14&gt;0,Gradesheet!#REF!,Gradesheet!#REF!)</f>
        <v>#REF!</v>
      </c>
      <c r="F735" s="138" t="e">
        <f>IF(Outline!$C$14&gt;0,Gradesheet!#REF!,"NA")</f>
        <v>#REF!</v>
      </c>
      <c r="G735" s="138" t="e">
        <f>IF(Outline!$C$14&gt;0,Gradesheet!#REF!,Gradesheet!#REF!)</f>
        <v>#REF!</v>
      </c>
      <c r="H735" s="139" t="e">
        <f t="shared" si="12"/>
        <v>#REF!</v>
      </c>
    </row>
    <row r="736" spans="2:8" hidden="1" x14ac:dyDescent="0.25">
      <c r="B736" s="90" t="e">
        <f>Gradesheet!#REF!</f>
        <v>#REF!</v>
      </c>
      <c r="C736" s="91" t="e">
        <f>(Gradesheet!#REF!)</f>
        <v>#REF!</v>
      </c>
      <c r="D736" s="92" t="e">
        <f>IF(Outline!$C$14&gt;0,Gradesheet!#REF!,Gradesheet!#REF!)</f>
        <v>#REF!</v>
      </c>
      <c r="E736" s="138" t="e">
        <f>IF(Outline!$C$14&gt;0,Gradesheet!#REF!,Gradesheet!#REF!)</f>
        <v>#REF!</v>
      </c>
      <c r="F736" s="138" t="e">
        <f>IF(Outline!$C$14&gt;0,Gradesheet!#REF!,"NA")</f>
        <v>#REF!</v>
      </c>
      <c r="G736" s="138" t="e">
        <f>IF(Outline!$C$14&gt;0,Gradesheet!#REF!,Gradesheet!#REF!)</f>
        <v>#REF!</v>
      </c>
      <c r="H736" s="139" t="e">
        <f t="shared" si="12"/>
        <v>#REF!</v>
      </c>
    </row>
    <row r="737" spans="2:8" hidden="1" x14ac:dyDescent="0.25">
      <c r="B737" s="90" t="e">
        <f>Gradesheet!#REF!</f>
        <v>#REF!</v>
      </c>
      <c r="C737" s="91" t="e">
        <f>(Gradesheet!#REF!)</f>
        <v>#REF!</v>
      </c>
      <c r="D737" s="92" t="e">
        <f>IF(Outline!$C$14&gt;0,Gradesheet!#REF!,Gradesheet!#REF!)</f>
        <v>#REF!</v>
      </c>
      <c r="E737" s="138" t="e">
        <f>IF(Outline!$C$14&gt;0,Gradesheet!#REF!,Gradesheet!#REF!)</f>
        <v>#REF!</v>
      </c>
      <c r="F737" s="138" t="e">
        <f>IF(Outline!$C$14&gt;0,Gradesheet!#REF!,"NA")</f>
        <v>#REF!</v>
      </c>
      <c r="G737" s="138" t="e">
        <f>IF(Outline!$C$14&gt;0,Gradesheet!#REF!,Gradesheet!#REF!)</f>
        <v>#REF!</v>
      </c>
      <c r="H737" s="139" t="e">
        <f t="shared" si="12"/>
        <v>#REF!</v>
      </c>
    </row>
    <row r="738" spans="2:8" hidden="1" x14ac:dyDescent="0.25">
      <c r="B738" s="90" t="e">
        <f>Gradesheet!#REF!</f>
        <v>#REF!</v>
      </c>
      <c r="C738" s="91" t="e">
        <f>(Gradesheet!#REF!)</f>
        <v>#REF!</v>
      </c>
      <c r="D738" s="92" t="e">
        <f>IF(Outline!$C$14&gt;0,Gradesheet!#REF!,Gradesheet!#REF!)</f>
        <v>#REF!</v>
      </c>
      <c r="E738" s="138" t="e">
        <f>IF(Outline!$C$14&gt;0,Gradesheet!#REF!,Gradesheet!#REF!)</f>
        <v>#REF!</v>
      </c>
      <c r="F738" s="138" t="e">
        <f>IF(Outline!$C$14&gt;0,Gradesheet!#REF!,"NA")</f>
        <v>#REF!</v>
      </c>
      <c r="G738" s="138" t="e">
        <f>IF(Outline!$C$14&gt;0,Gradesheet!#REF!,Gradesheet!#REF!)</f>
        <v>#REF!</v>
      </c>
      <c r="H738" s="139" t="e">
        <f t="shared" si="12"/>
        <v>#REF!</v>
      </c>
    </row>
    <row r="739" spans="2:8" hidden="1" x14ac:dyDescent="0.25">
      <c r="B739" s="90" t="e">
        <f>Gradesheet!#REF!</f>
        <v>#REF!</v>
      </c>
      <c r="C739" s="91" t="e">
        <f>(Gradesheet!#REF!)</f>
        <v>#REF!</v>
      </c>
      <c r="D739" s="92" t="e">
        <f>IF(Outline!$C$14&gt;0,Gradesheet!#REF!,Gradesheet!#REF!)</f>
        <v>#REF!</v>
      </c>
      <c r="E739" s="138" t="e">
        <f>IF(Outline!$C$14&gt;0,Gradesheet!#REF!,Gradesheet!#REF!)</f>
        <v>#REF!</v>
      </c>
      <c r="F739" s="138" t="e">
        <f>IF(Outline!$C$14&gt;0,Gradesheet!#REF!,"NA")</f>
        <v>#REF!</v>
      </c>
      <c r="G739" s="138" t="e">
        <f>IF(Outline!$C$14&gt;0,Gradesheet!#REF!,Gradesheet!#REF!)</f>
        <v>#REF!</v>
      </c>
      <c r="H739" s="139" t="e">
        <f t="shared" si="12"/>
        <v>#REF!</v>
      </c>
    </row>
    <row r="740" spans="2:8" hidden="1" x14ac:dyDescent="0.25">
      <c r="B740" s="90" t="e">
        <f>Gradesheet!#REF!</f>
        <v>#REF!</v>
      </c>
      <c r="C740" s="91" t="e">
        <f>(Gradesheet!#REF!)</f>
        <v>#REF!</v>
      </c>
      <c r="D740" s="92" t="e">
        <f>IF(Outline!$C$14&gt;0,Gradesheet!#REF!,Gradesheet!#REF!)</f>
        <v>#REF!</v>
      </c>
      <c r="E740" s="138" t="e">
        <f>IF(Outline!$C$14&gt;0,Gradesheet!#REF!,Gradesheet!#REF!)</f>
        <v>#REF!</v>
      </c>
      <c r="F740" s="138" t="e">
        <f>IF(Outline!$C$14&gt;0,Gradesheet!#REF!,"NA")</f>
        <v>#REF!</v>
      </c>
      <c r="G740" s="138" t="e">
        <f>IF(Outline!$C$14&gt;0,Gradesheet!#REF!,Gradesheet!#REF!)</f>
        <v>#REF!</v>
      </c>
      <c r="H740" s="139" t="e">
        <f t="shared" si="12"/>
        <v>#REF!</v>
      </c>
    </row>
    <row r="741" spans="2:8" hidden="1" x14ac:dyDescent="0.25">
      <c r="B741" s="90" t="e">
        <f>Gradesheet!#REF!</f>
        <v>#REF!</v>
      </c>
      <c r="C741" s="91" t="e">
        <f>(Gradesheet!#REF!)</f>
        <v>#REF!</v>
      </c>
      <c r="D741" s="92" t="e">
        <f>IF(Outline!$C$14&gt;0,Gradesheet!#REF!,Gradesheet!#REF!)</f>
        <v>#REF!</v>
      </c>
      <c r="E741" s="138" t="e">
        <f>IF(Outline!$C$14&gt;0,Gradesheet!#REF!,Gradesheet!#REF!)</f>
        <v>#REF!</v>
      </c>
      <c r="F741" s="138" t="e">
        <f>IF(Outline!$C$14&gt;0,Gradesheet!#REF!,"NA")</f>
        <v>#REF!</v>
      </c>
      <c r="G741" s="138" t="e">
        <f>IF(Outline!$C$14&gt;0,Gradesheet!#REF!,Gradesheet!#REF!)</f>
        <v>#REF!</v>
      </c>
      <c r="H741" s="139" t="e">
        <f t="shared" si="12"/>
        <v>#REF!</v>
      </c>
    </row>
    <row r="742" spans="2:8" hidden="1" x14ac:dyDescent="0.25">
      <c r="B742" s="90" t="e">
        <f>Gradesheet!#REF!</f>
        <v>#REF!</v>
      </c>
      <c r="C742" s="91" t="e">
        <f>(Gradesheet!#REF!)</f>
        <v>#REF!</v>
      </c>
      <c r="D742" s="92" t="e">
        <f>IF(Outline!$C$14&gt;0,Gradesheet!#REF!,Gradesheet!#REF!)</f>
        <v>#REF!</v>
      </c>
      <c r="E742" s="138" t="e">
        <f>IF(Outline!$C$14&gt;0,Gradesheet!#REF!,Gradesheet!#REF!)</f>
        <v>#REF!</v>
      </c>
      <c r="F742" s="138" t="e">
        <f>IF(Outline!$C$14&gt;0,Gradesheet!#REF!,"NA")</f>
        <v>#REF!</v>
      </c>
      <c r="G742" s="138" t="e">
        <f>IF(Outline!$C$14&gt;0,Gradesheet!#REF!,Gradesheet!#REF!)</f>
        <v>#REF!</v>
      </c>
      <c r="H742" s="139" t="e">
        <f t="shared" si="12"/>
        <v>#REF!</v>
      </c>
    </row>
    <row r="743" spans="2:8" hidden="1" x14ac:dyDescent="0.25">
      <c r="B743" s="90" t="e">
        <f>Gradesheet!#REF!</f>
        <v>#REF!</v>
      </c>
      <c r="C743" s="91" t="e">
        <f>(Gradesheet!#REF!)</f>
        <v>#REF!</v>
      </c>
      <c r="D743" s="92" t="e">
        <f>IF(Outline!$C$14&gt;0,Gradesheet!#REF!,Gradesheet!#REF!)</f>
        <v>#REF!</v>
      </c>
      <c r="E743" s="138" t="e">
        <f>IF(Outline!$C$14&gt;0,Gradesheet!#REF!,Gradesheet!#REF!)</f>
        <v>#REF!</v>
      </c>
      <c r="F743" s="138" t="e">
        <f>IF(Outline!$C$14&gt;0,Gradesheet!#REF!,"NA")</f>
        <v>#REF!</v>
      </c>
      <c r="G743" s="138" t="e">
        <f>IF(Outline!$C$14&gt;0,Gradesheet!#REF!,Gradesheet!#REF!)</f>
        <v>#REF!</v>
      </c>
      <c r="H743" s="139" t="e">
        <f t="shared" si="12"/>
        <v>#REF!</v>
      </c>
    </row>
    <row r="744" spans="2:8" hidden="1" x14ac:dyDescent="0.25">
      <c r="B744" s="90" t="e">
        <f>Gradesheet!#REF!</f>
        <v>#REF!</v>
      </c>
      <c r="C744" s="91" t="e">
        <f>(Gradesheet!#REF!)</f>
        <v>#REF!</v>
      </c>
      <c r="D744" s="92" t="e">
        <f>IF(Outline!$C$14&gt;0,Gradesheet!#REF!,Gradesheet!#REF!)</f>
        <v>#REF!</v>
      </c>
      <c r="E744" s="138" t="e">
        <f>IF(Outline!$C$14&gt;0,Gradesheet!#REF!,Gradesheet!#REF!)</f>
        <v>#REF!</v>
      </c>
      <c r="F744" s="138" t="e">
        <f>IF(Outline!$C$14&gt;0,Gradesheet!#REF!,"NA")</f>
        <v>#REF!</v>
      </c>
      <c r="G744" s="138" t="e">
        <f>IF(Outline!$C$14&gt;0,Gradesheet!#REF!,Gradesheet!#REF!)</f>
        <v>#REF!</v>
      </c>
      <c r="H744" s="139" t="e">
        <f t="shared" si="12"/>
        <v>#REF!</v>
      </c>
    </row>
    <row r="745" spans="2:8" hidden="1" x14ac:dyDescent="0.25">
      <c r="B745" s="90" t="e">
        <f>Gradesheet!#REF!</f>
        <v>#REF!</v>
      </c>
      <c r="C745" s="91" t="e">
        <f>(Gradesheet!#REF!)</f>
        <v>#REF!</v>
      </c>
      <c r="D745" s="92" t="e">
        <f>IF(Outline!$C$14&gt;0,Gradesheet!#REF!,Gradesheet!#REF!)</f>
        <v>#REF!</v>
      </c>
      <c r="E745" s="138" t="e">
        <f>IF(Outline!$C$14&gt;0,Gradesheet!#REF!,Gradesheet!#REF!)</f>
        <v>#REF!</v>
      </c>
      <c r="F745" s="138" t="e">
        <f>IF(Outline!$C$14&gt;0,Gradesheet!#REF!,"NA")</f>
        <v>#REF!</v>
      </c>
      <c r="G745" s="138" t="e">
        <f>IF(Outline!$C$14&gt;0,Gradesheet!#REF!,Gradesheet!#REF!)</f>
        <v>#REF!</v>
      </c>
      <c r="H745" s="139" t="e">
        <f t="shared" si="12"/>
        <v>#REF!</v>
      </c>
    </row>
    <row r="746" spans="2:8" hidden="1" x14ac:dyDescent="0.25">
      <c r="B746" s="90" t="e">
        <f>Gradesheet!#REF!</f>
        <v>#REF!</v>
      </c>
      <c r="C746" s="91" t="e">
        <f>(Gradesheet!#REF!)</f>
        <v>#REF!</v>
      </c>
      <c r="D746" s="92" t="e">
        <f>IF(Outline!$C$14&gt;0,Gradesheet!#REF!,Gradesheet!#REF!)</f>
        <v>#REF!</v>
      </c>
      <c r="E746" s="138" t="e">
        <f>IF(Outline!$C$14&gt;0,Gradesheet!#REF!,Gradesheet!#REF!)</f>
        <v>#REF!</v>
      </c>
      <c r="F746" s="138" t="e">
        <f>IF(Outline!$C$14&gt;0,Gradesheet!#REF!,"NA")</f>
        <v>#REF!</v>
      </c>
      <c r="G746" s="138" t="e">
        <f>IF(Outline!$C$14&gt;0,Gradesheet!#REF!,Gradesheet!#REF!)</f>
        <v>#REF!</v>
      </c>
      <c r="H746" s="139" t="e">
        <f t="shared" si="12"/>
        <v>#REF!</v>
      </c>
    </row>
    <row r="747" spans="2:8" hidden="1" x14ac:dyDescent="0.25">
      <c r="B747" s="90" t="e">
        <f>Gradesheet!#REF!</f>
        <v>#REF!</v>
      </c>
      <c r="C747" s="91" t="e">
        <f>(Gradesheet!#REF!)</f>
        <v>#REF!</v>
      </c>
      <c r="D747" s="92" t="e">
        <f>IF(Outline!$C$14&gt;0,Gradesheet!#REF!,Gradesheet!#REF!)</f>
        <v>#REF!</v>
      </c>
      <c r="E747" s="138" t="e">
        <f>IF(Outline!$C$14&gt;0,Gradesheet!#REF!,Gradesheet!#REF!)</f>
        <v>#REF!</v>
      </c>
      <c r="F747" s="138" t="e">
        <f>IF(Outline!$C$14&gt;0,Gradesheet!#REF!,"NA")</f>
        <v>#REF!</v>
      </c>
      <c r="G747" s="138" t="e">
        <f>IF(Outline!$C$14&gt;0,Gradesheet!#REF!,Gradesheet!#REF!)</f>
        <v>#REF!</v>
      </c>
      <c r="H747" s="139" t="e">
        <f t="shared" si="12"/>
        <v>#REF!</v>
      </c>
    </row>
    <row r="748" spans="2:8" hidden="1" x14ac:dyDescent="0.25">
      <c r="B748" s="90" t="e">
        <f>Gradesheet!#REF!</f>
        <v>#REF!</v>
      </c>
      <c r="C748" s="91" t="e">
        <f>(Gradesheet!#REF!)</f>
        <v>#REF!</v>
      </c>
      <c r="D748" s="92" t="e">
        <f>IF(Outline!$C$14&gt;0,Gradesheet!#REF!,Gradesheet!#REF!)</f>
        <v>#REF!</v>
      </c>
      <c r="E748" s="138" t="e">
        <f>IF(Outline!$C$14&gt;0,Gradesheet!#REF!,Gradesheet!#REF!)</f>
        <v>#REF!</v>
      </c>
      <c r="F748" s="138" t="e">
        <f>IF(Outline!$C$14&gt;0,Gradesheet!#REF!,"NA")</f>
        <v>#REF!</v>
      </c>
      <c r="G748" s="138" t="e">
        <f>IF(Outline!$C$14&gt;0,Gradesheet!#REF!,Gradesheet!#REF!)</f>
        <v>#REF!</v>
      </c>
      <c r="H748" s="139" t="e">
        <f t="shared" si="12"/>
        <v>#REF!</v>
      </c>
    </row>
    <row r="749" spans="2:8" hidden="1" x14ac:dyDescent="0.25">
      <c r="B749" s="90" t="e">
        <f>Gradesheet!#REF!</f>
        <v>#REF!</v>
      </c>
      <c r="C749" s="91" t="e">
        <f>(Gradesheet!#REF!)</f>
        <v>#REF!</v>
      </c>
      <c r="D749" s="92" t="e">
        <f>IF(Outline!$C$14&gt;0,Gradesheet!#REF!,Gradesheet!#REF!)</f>
        <v>#REF!</v>
      </c>
      <c r="E749" s="138" t="e">
        <f>IF(Outline!$C$14&gt;0,Gradesheet!#REF!,Gradesheet!#REF!)</f>
        <v>#REF!</v>
      </c>
      <c r="F749" s="138" t="e">
        <f>IF(Outline!$C$14&gt;0,Gradesheet!#REF!,"NA")</f>
        <v>#REF!</v>
      </c>
      <c r="G749" s="138" t="e">
        <f>IF(Outline!$C$14&gt;0,Gradesheet!#REF!,Gradesheet!#REF!)</f>
        <v>#REF!</v>
      </c>
      <c r="H749" s="139" t="e">
        <f t="shared" si="12"/>
        <v>#REF!</v>
      </c>
    </row>
    <row r="750" spans="2:8" hidden="1" x14ac:dyDescent="0.25">
      <c r="B750" s="90" t="e">
        <f>Gradesheet!#REF!</f>
        <v>#REF!</v>
      </c>
      <c r="C750" s="91" t="e">
        <f>(Gradesheet!#REF!)</f>
        <v>#REF!</v>
      </c>
      <c r="D750" s="92" t="e">
        <f>IF(Outline!$C$14&gt;0,Gradesheet!#REF!,Gradesheet!#REF!)</f>
        <v>#REF!</v>
      </c>
      <c r="E750" s="138" t="e">
        <f>IF(Outline!$C$14&gt;0,Gradesheet!#REF!,Gradesheet!#REF!)</f>
        <v>#REF!</v>
      </c>
      <c r="F750" s="138" t="e">
        <f>IF(Outline!$C$14&gt;0,Gradesheet!#REF!,"NA")</f>
        <v>#REF!</v>
      </c>
      <c r="G750" s="138" t="e">
        <f>IF(Outline!$C$14&gt;0,Gradesheet!#REF!,Gradesheet!#REF!)</f>
        <v>#REF!</v>
      </c>
      <c r="H750" s="139" t="e">
        <f t="shared" si="12"/>
        <v>#REF!</v>
      </c>
    </row>
    <row r="751" spans="2:8" hidden="1" x14ac:dyDescent="0.25">
      <c r="B751" s="90" t="e">
        <f>Gradesheet!#REF!</f>
        <v>#REF!</v>
      </c>
      <c r="C751" s="91" t="e">
        <f>(Gradesheet!#REF!)</f>
        <v>#REF!</v>
      </c>
      <c r="D751" s="92" t="e">
        <f>IF(Outline!$C$14&gt;0,Gradesheet!#REF!,Gradesheet!#REF!)</f>
        <v>#REF!</v>
      </c>
      <c r="E751" s="138" t="e">
        <f>IF(Outline!$C$14&gt;0,Gradesheet!#REF!,Gradesheet!#REF!)</f>
        <v>#REF!</v>
      </c>
      <c r="F751" s="138" t="e">
        <f>IF(Outline!$C$14&gt;0,Gradesheet!#REF!,"NA")</f>
        <v>#REF!</v>
      </c>
      <c r="G751" s="138" t="e">
        <f>IF(Outline!$C$14&gt;0,Gradesheet!#REF!,Gradesheet!#REF!)</f>
        <v>#REF!</v>
      </c>
      <c r="H751" s="139" t="e">
        <f t="shared" si="12"/>
        <v>#REF!</v>
      </c>
    </row>
    <row r="752" spans="2:8" hidden="1" x14ac:dyDescent="0.25">
      <c r="B752" s="90" t="e">
        <f>Gradesheet!#REF!</f>
        <v>#REF!</v>
      </c>
      <c r="C752" s="91" t="e">
        <f>(Gradesheet!#REF!)</f>
        <v>#REF!</v>
      </c>
      <c r="D752" s="92" t="e">
        <f>IF(Outline!$C$14&gt;0,Gradesheet!#REF!,Gradesheet!#REF!)</f>
        <v>#REF!</v>
      </c>
      <c r="E752" s="138" t="e">
        <f>IF(Outline!$C$14&gt;0,Gradesheet!#REF!,Gradesheet!#REF!)</f>
        <v>#REF!</v>
      </c>
      <c r="F752" s="138" t="e">
        <f>IF(Outline!$C$14&gt;0,Gradesheet!#REF!,"NA")</f>
        <v>#REF!</v>
      </c>
      <c r="G752" s="138" t="e">
        <f>IF(Outline!$C$14&gt;0,Gradesheet!#REF!,Gradesheet!#REF!)</f>
        <v>#REF!</v>
      </c>
      <c r="H752" s="139" t="e">
        <f t="shared" si="12"/>
        <v>#REF!</v>
      </c>
    </row>
    <row r="753" spans="2:8" hidden="1" x14ac:dyDescent="0.25">
      <c r="B753" s="90" t="e">
        <f>Gradesheet!#REF!</f>
        <v>#REF!</v>
      </c>
      <c r="C753" s="91" t="e">
        <f>(Gradesheet!#REF!)</f>
        <v>#REF!</v>
      </c>
      <c r="D753" s="92" t="e">
        <f>IF(Outline!$C$14&gt;0,Gradesheet!#REF!,Gradesheet!#REF!)</f>
        <v>#REF!</v>
      </c>
      <c r="E753" s="138" t="e">
        <f>IF(Outline!$C$14&gt;0,Gradesheet!#REF!,Gradesheet!#REF!)</f>
        <v>#REF!</v>
      </c>
      <c r="F753" s="138" t="e">
        <f>IF(Outline!$C$14&gt;0,Gradesheet!#REF!,"NA")</f>
        <v>#REF!</v>
      </c>
      <c r="G753" s="138" t="e">
        <f>IF(Outline!$C$14&gt;0,Gradesheet!#REF!,Gradesheet!#REF!)</f>
        <v>#REF!</v>
      </c>
      <c r="H753" s="139" t="e">
        <f t="shared" si="12"/>
        <v>#REF!</v>
      </c>
    </row>
    <row r="754" spans="2:8" hidden="1" x14ac:dyDescent="0.25">
      <c r="B754" s="90" t="e">
        <f>Gradesheet!#REF!</f>
        <v>#REF!</v>
      </c>
      <c r="C754" s="91" t="e">
        <f>(Gradesheet!#REF!)</f>
        <v>#REF!</v>
      </c>
      <c r="D754" s="92" t="e">
        <f>IF(Outline!$C$14&gt;0,Gradesheet!#REF!,Gradesheet!#REF!)</f>
        <v>#REF!</v>
      </c>
      <c r="E754" s="138" t="e">
        <f>IF(Outline!$C$14&gt;0,Gradesheet!#REF!,Gradesheet!#REF!)</f>
        <v>#REF!</v>
      </c>
      <c r="F754" s="138" t="e">
        <f>IF(Outline!$C$14&gt;0,Gradesheet!#REF!,"NA")</f>
        <v>#REF!</v>
      </c>
      <c r="G754" s="138" t="e">
        <f>IF(Outline!$C$14&gt;0,Gradesheet!#REF!,Gradesheet!#REF!)</f>
        <v>#REF!</v>
      </c>
      <c r="H754" s="139" t="e">
        <f t="shared" si="12"/>
        <v>#REF!</v>
      </c>
    </row>
    <row r="755" spans="2:8" hidden="1" x14ac:dyDescent="0.25">
      <c r="B755" s="90" t="e">
        <f>Gradesheet!#REF!</f>
        <v>#REF!</v>
      </c>
      <c r="C755" s="91" t="e">
        <f>(Gradesheet!#REF!)</f>
        <v>#REF!</v>
      </c>
      <c r="D755" s="92" t="e">
        <f>IF(Outline!$C$14&gt;0,Gradesheet!#REF!,Gradesheet!#REF!)</f>
        <v>#REF!</v>
      </c>
      <c r="E755" s="138" t="e">
        <f>IF(Outline!$C$14&gt;0,Gradesheet!#REF!,Gradesheet!#REF!)</f>
        <v>#REF!</v>
      </c>
      <c r="F755" s="138" t="e">
        <f>IF(Outline!$C$14&gt;0,Gradesheet!#REF!,"NA")</f>
        <v>#REF!</v>
      </c>
      <c r="G755" s="138" t="e">
        <f>IF(Outline!$C$14&gt;0,Gradesheet!#REF!,Gradesheet!#REF!)</f>
        <v>#REF!</v>
      </c>
      <c r="H755" s="139" t="e">
        <f t="shared" si="12"/>
        <v>#REF!</v>
      </c>
    </row>
    <row r="756" spans="2:8" hidden="1" x14ac:dyDescent="0.25">
      <c r="B756" s="90" t="e">
        <f>Gradesheet!#REF!</f>
        <v>#REF!</v>
      </c>
      <c r="C756" s="91" t="e">
        <f>(Gradesheet!#REF!)</f>
        <v>#REF!</v>
      </c>
      <c r="D756" s="92" t="e">
        <f>IF(Outline!$C$14&gt;0,Gradesheet!#REF!,Gradesheet!#REF!)</f>
        <v>#REF!</v>
      </c>
      <c r="E756" s="138" t="e">
        <f>IF(Outline!$C$14&gt;0,Gradesheet!#REF!,Gradesheet!#REF!)</f>
        <v>#REF!</v>
      </c>
      <c r="F756" s="138" t="e">
        <f>IF(Outline!$C$14&gt;0,Gradesheet!#REF!,"NA")</f>
        <v>#REF!</v>
      </c>
      <c r="G756" s="138" t="e">
        <f>IF(Outline!$C$14&gt;0,Gradesheet!#REF!,Gradesheet!#REF!)</f>
        <v>#REF!</v>
      </c>
      <c r="H756" s="139" t="e">
        <f t="shared" si="12"/>
        <v>#REF!</v>
      </c>
    </row>
    <row r="757" spans="2:8" hidden="1" x14ac:dyDescent="0.25">
      <c r="B757" s="90" t="e">
        <f>Gradesheet!#REF!</f>
        <v>#REF!</v>
      </c>
      <c r="C757" s="91" t="e">
        <f>(Gradesheet!#REF!)</f>
        <v>#REF!</v>
      </c>
      <c r="D757" s="92" t="e">
        <f>IF(Outline!$C$14&gt;0,Gradesheet!#REF!,Gradesheet!#REF!)</f>
        <v>#REF!</v>
      </c>
      <c r="E757" s="138" t="e">
        <f>IF(Outline!$C$14&gt;0,Gradesheet!#REF!,Gradesheet!#REF!)</f>
        <v>#REF!</v>
      </c>
      <c r="F757" s="138" t="e">
        <f>IF(Outline!$C$14&gt;0,Gradesheet!#REF!,"NA")</f>
        <v>#REF!</v>
      </c>
      <c r="G757" s="138" t="e">
        <f>IF(Outline!$C$14&gt;0,Gradesheet!#REF!,Gradesheet!#REF!)</f>
        <v>#REF!</v>
      </c>
      <c r="H757" s="139" t="e">
        <f t="shared" si="12"/>
        <v>#REF!</v>
      </c>
    </row>
    <row r="758" spans="2:8" hidden="1" x14ac:dyDescent="0.25">
      <c r="B758" s="90" t="e">
        <f>Gradesheet!#REF!</f>
        <v>#REF!</v>
      </c>
      <c r="C758" s="91" t="e">
        <f>(Gradesheet!#REF!)</f>
        <v>#REF!</v>
      </c>
      <c r="D758" s="92" t="e">
        <f>IF(Outline!$C$14&gt;0,Gradesheet!#REF!,Gradesheet!#REF!)</f>
        <v>#REF!</v>
      </c>
      <c r="E758" s="138" t="e">
        <f>IF(Outline!$C$14&gt;0,Gradesheet!#REF!,Gradesheet!#REF!)</f>
        <v>#REF!</v>
      </c>
      <c r="F758" s="138" t="e">
        <f>IF(Outline!$C$14&gt;0,Gradesheet!#REF!,"NA")</f>
        <v>#REF!</v>
      </c>
      <c r="G758" s="138" t="e">
        <f>IF(Outline!$C$14&gt;0,Gradesheet!#REF!,Gradesheet!#REF!)</f>
        <v>#REF!</v>
      </c>
      <c r="H758" s="139" t="e">
        <f t="shared" si="12"/>
        <v>#REF!</v>
      </c>
    </row>
    <row r="759" spans="2:8" hidden="1" x14ac:dyDescent="0.25">
      <c r="B759" s="90" t="e">
        <f>Gradesheet!#REF!</f>
        <v>#REF!</v>
      </c>
      <c r="C759" s="91" t="e">
        <f>(Gradesheet!#REF!)</f>
        <v>#REF!</v>
      </c>
      <c r="D759" s="92" t="e">
        <f>IF(Outline!$C$14&gt;0,Gradesheet!#REF!,Gradesheet!#REF!)</f>
        <v>#REF!</v>
      </c>
      <c r="E759" s="138" t="e">
        <f>IF(Outline!$C$14&gt;0,Gradesheet!#REF!,Gradesheet!#REF!)</f>
        <v>#REF!</v>
      </c>
      <c r="F759" s="138" t="e">
        <f>IF(Outline!$C$14&gt;0,Gradesheet!#REF!,"NA")</f>
        <v>#REF!</v>
      </c>
      <c r="G759" s="138" t="e">
        <f>IF(Outline!$C$14&gt;0,Gradesheet!#REF!,Gradesheet!#REF!)</f>
        <v>#REF!</v>
      </c>
      <c r="H759" s="139" t="e">
        <f t="shared" si="12"/>
        <v>#REF!</v>
      </c>
    </row>
    <row r="760" spans="2:8" hidden="1" x14ac:dyDescent="0.25">
      <c r="B760" s="90" t="e">
        <f>Gradesheet!#REF!</f>
        <v>#REF!</v>
      </c>
      <c r="C760" s="91" t="e">
        <f>(Gradesheet!#REF!)</f>
        <v>#REF!</v>
      </c>
      <c r="D760" s="92" t="e">
        <f>IF(Outline!$C$14&gt;0,Gradesheet!#REF!,Gradesheet!#REF!)</f>
        <v>#REF!</v>
      </c>
      <c r="E760" s="138" t="e">
        <f>IF(Outline!$C$14&gt;0,Gradesheet!#REF!,Gradesheet!#REF!)</f>
        <v>#REF!</v>
      </c>
      <c r="F760" s="138" t="e">
        <f>IF(Outline!$C$14&gt;0,Gradesheet!#REF!,"NA")</f>
        <v>#REF!</v>
      </c>
      <c r="G760" s="138" t="e">
        <f>IF(Outline!$C$14&gt;0,Gradesheet!#REF!,Gradesheet!#REF!)</f>
        <v>#REF!</v>
      </c>
      <c r="H760" s="139" t="e">
        <f t="shared" si="12"/>
        <v>#REF!</v>
      </c>
    </row>
    <row r="761" spans="2:8" hidden="1" x14ac:dyDescent="0.25">
      <c r="B761" s="90" t="e">
        <f>Gradesheet!#REF!</f>
        <v>#REF!</v>
      </c>
      <c r="C761" s="91" t="e">
        <f>(Gradesheet!#REF!)</f>
        <v>#REF!</v>
      </c>
      <c r="D761" s="92" t="e">
        <f>IF(Outline!$C$14&gt;0,Gradesheet!#REF!,Gradesheet!#REF!)</f>
        <v>#REF!</v>
      </c>
      <c r="E761" s="138" t="e">
        <f>IF(Outline!$C$14&gt;0,Gradesheet!#REF!,Gradesheet!#REF!)</f>
        <v>#REF!</v>
      </c>
      <c r="F761" s="138" t="e">
        <f>IF(Outline!$C$14&gt;0,Gradesheet!#REF!,"NA")</f>
        <v>#REF!</v>
      </c>
      <c r="G761" s="138" t="e">
        <f>IF(Outline!$C$14&gt;0,Gradesheet!#REF!,Gradesheet!#REF!)</f>
        <v>#REF!</v>
      </c>
      <c r="H761" s="139" t="e">
        <f t="shared" si="12"/>
        <v>#REF!</v>
      </c>
    </row>
    <row r="762" spans="2:8" hidden="1" x14ac:dyDescent="0.25">
      <c r="B762" s="90" t="e">
        <f>Gradesheet!#REF!</f>
        <v>#REF!</v>
      </c>
      <c r="C762" s="91" t="e">
        <f>(Gradesheet!#REF!)</f>
        <v>#REF!</v>
      </c>
      <c r="D762" s="92" t="e">
        <f>IF(Outline!$C$14&gt;0,Gradesheet!#REF!,Gradesheet!#REF!)</f>
        <v>#REF!</v>
      </c>
      <c r="E762" s="138" t="e">
        <f>IF(Outline!$C$14&gt;0,Gradesheet!#REF!,Gradesheet!#REF!)</f>
        <v>#REF!</v>
      </c>
      <c r="F762" s="138" t="e">
        <f>IF(Outline!$C$14&gt;0,Gradesheet!#REF!,"NA")</f>
        <v>#REF!</v>
      </c>
      <c r="G762" s="138" t="e">
        <f>IF(Outline!$C$14&gt;0,Gradesheet!#REF!,Gradesheet!#REF!)</f>
        <v>#REF!</v>
      </c>
      <c r="H762" s="139" t="e">
        <f t="shared" si="12"/>
        <v>#REF!</v>
      </c>
    </row>
    <row r="763" spans="2:8" hidden="1" x14ac:dyDescent="0.25">
      <c r="B763" s="90" t="e">
        <f>Gradesheet!#REF!</f>
        <v>#REF!</v>
      </c>
      <c r="C763" s="91" t="e">
        <f>(Gradesheet!#REF!)</f>
        <v>#REF!</v>
      </c>
      <c r="D763" s="92" t="e">
        <f>IF(Outline!$C$14&gt;0,Gradesheet!#REF!,Gradesheet!#REF!)</f>
        <v>#REF!</v>
      </c>
      <c r="E763" s="138" t="e">
        <f>IF(Outline!$C$14&gt;0,Gradesheet!#REF!,Gradesheet!#REF!)</f>
        <v>#REF!</v>
      </c>
      <c r="F763" s="138" t="e">
        <f>IF(Outline!$C$14&gt;0,Gradesheet!#REF!,"NA")</f>
        <v>#REF!</v>
      </c>
      <c r="G763" s="138" t="e">
        <f>IF(Outline!$C$14&gt;0,Gradesheet!#REF!,Gradesheet!#REF!)</f>
        <v>#REF!</v>
      </c>
      <c r="H763" s="139" t="e">
        <f t="shared" si="12"/>
        <v>#REF!</v>
      </c>
    </row>
    <row r="764" spans="2:8" hidden="1" x14ac:dyDescent="0.25">
      <c r="B764" s="90" t="e">
        <f>Gradesheet!#REF!</f>
        <v>#REF!</v>
      </c>
      <c r="C764" s="91" t="e">
        <f>(Gradesheet!#REF!)</f>
        <v>#REF!</v>
      </c>
      <c r="D764" s="92" t="e">
        <f>IF(Outline!$C$14&gt;0,Gradesheet!#REF!,Gradesheet!#REF!)</f>
        <v>#REF!</v>
      </c>
      <c r="E764" s="138" t="e">
        <f>IF(Outline!$C$14&gt;0,Gradesheet!#REF!,Gradesheet!#REF!)</f>
        <v>#REF!</v>
      </c>
      <c r="F764" s="138" t="e">
        <f>IF(Outline!$C$14&gt;0,Gradesheet!#REF!,"NA")</f>
        <v>#REF!</v>
      </c>
      <c r="G764" s="138" t="e">
        <f>IF(Outline!$C$14&gt;0,Gradesheet!#REF!,Gradesheet!#REF!)</f>
        <v>#REF!</v>
      </c>
      <c r="H764" s="139" t="e">
        <f t="shared" si="12"/>
        <v>#REF!</v>
      </c>
    </row>
    <row r="765" spans="2:8" hidden="1" x14ac:dyDescent="0.25">
      <c r="B765" s="90" t="e">
        <f>Gradesheet!#REF!</f>
        <v>#REF!</v>
      </c>
      <c r="C765" s="91" t="e">
        <f>(Gradesheet!#REF!)</f>
        <v>#REF!</v>
      </c>
      <c r="D765" s="92" t="e">
        <f>IF(Outline!$C$14&gt;0,Gradesheet!#REF!,Gradesheet!#REF!)</f>
        <v>#REF!</v>
      </c>
      <c r="E765" s="138" t="e">
        <f>IF(Outline!$C$14&gt;0,Gradesheet!#REF!,Gradesheet!#REF!)</f>
        <v>#REF!</v>
      </c>
      <c r="F765" s="138" t="e">
        <f>IF(Outline!$C$14&gt;0,Gradesheet!#REF!,"NA")</f>
        <v>#REF!</v>
      </c>
      <c r="G765" s="138" t="e">
        <f>IF(Outline!$C$14&gt;0,Gradesheet!#REF!,Gradesheet!#REF!)</f>
        <v>#REF!</v>
      </c>
      <c r="H765" s="139" t="e">
        <f t="shared" si="12"/>
        <v>#REF!</v>
      </c>
    </row>
    <row r="766" spans="2:8" hidden="1" x14ac:dyDescent="0.25">
      <c r="B766" s="90" t="e">
        <f>Gradesheet!#REF!</f>
        <v>#REF!</v>
      </c>
      <c r="C766" s="91" t="e">
        <f>(Gradesheet!#REF!)</f>
        <v>#REF!</v>
      </c>
      <c r="D766" s="92" t="e">
        <f>IF(Outline!$C$14&gt;0,Gradesheet!#REF!,Gradesheet!#REF!)</f>
        <v>#REF!</v>
      </c>
      <c r="E766" s="138" t="e">
        <f>IF(Outline!$C$14&gt;0,Gradesheet!#REF!,Gradesheet!#REF!)</f>
        <v>#REF!</v>
      </c>
      <c r="F766" s="138" t="e">
        <f>IF(Outline!$C$14&gt;0,Gradesheet!#REF!,"NA")</f>
        <v>#REF!</v>
      </c>
      <c r="G766" s="138" t="e">
        <f>IF(Outline!$C$14&gt;0,Gradesheet!#REF!,Gradesheet!#REF!)</f>
        <v>#REF!</v>
      </c>
      <c r="H766" s="139" t="e">
        <f t="shared" si="12"/>
        <v>#REF!</v>
      </c>
    </row>
    <row r="767" spans="2:8" hidden="1" x14ac:dyDescent="0.25">
      <c r="B767" s="90" t="e">
        <f>Gradesheet!#REF!</f>
        <v>#REF!</v>
      </c>
      <c r="C767" s="91" t="e">
        <f>(Gradesheet!#REF!)</f>
        <v>#REF!</v>
      </c>
      <c r="D767" s="92" t="e">
        <f>IF(Outline!$C$14&gt;0,Gradesheet!#REF!,Gradesheet!#REF!)</f>
        <v>#REF!</v>
      </c>
      <c r="E767" s="138" t="e">
        <f>IF(Outline!$C$14&gt;0,Gradesheet!#REF!,Gradesheet!#REF!)</f>
        <v>#REF!</v>
      </c>
      <c r="F767" s="138" t="e">
        <f>IF(Outline!$C$14&gt;0,Gradesheet!#REF!,"NA")</f>
        <v>#REF!</v>
      </c>
      <c r="G767" s="138" t="e">
        <f>IF(Outline!$C$14&gt;0,Gradesheet!#REF!,Gradesheet!#REF!)</f>
        <v>#REF!</v>
      </c>
      <c r="H767" s="139" t="e">
        <f t="shared" si="12"/>
        <v>#REF!</v>
      </c>
    </row>
    <row r="768" spans="2:8" hidden="1" x14ac:dyDescent="0.25">
      <c r="B768" s="90" t="e">
        <f>Gradesheet!#REF!</f>
        <v>#REF!</v>
      </c>
      <c r="C768" s="91" t="e">
        <f>(Gradesheet!#REF!)</f>
        <v>#REF!</v>
      </c>
      <c r="D768" s="92" t="e">
        <f>IF(Outline!$C$14&gt;0,Gradesheet!#REF!,Gradesheet!#REF!)</f>
        <v>#REF!</v>
      </c>
      <c r="E768" s="138" t="e">
        <f>IF(Outline!$C$14&gt;0,Gradesheet!#REF!,Gradesheet!#REF!)</f>
        <v>#REF!</v>
      </c>
      <c r="F768" s="138" t="e">
        <f>IF(Outline!$C$14&gt;0,Gradesheet!#REF!,"NA")</f>
        <v>#REF!</v>
      </c>
      <c r="G768" s="138" t="e">
        <f>IF(Outline!$C$14&gt;0,Gradesheet!#REF!,Gradesheet!#REF!)</f>
        <v>#REF!</v>
      </c>
      <c r="H768" s="139" t="e">
        <f t="shared" si="12"/>
        <v>#REF!</v>
      </c>
    </row>
    <row r="769" spans="2:8" hidden="1" x14ac:dyDescent="0.25">
      <c r="B769" s="90" t="e">
        <f>Gradesheet!#REF!</f>
        <v>#REF!</v>
      </c>
      <c r="C769" s="91" t="e">
        <f>(Gradesheet!#REF!)</f>
        <v>#REF!</v>
      </c>
      <c r="D769" s="92" t="e">
        <f>IF(Outline!$C$14&gt;0,Gradesheet!#REF!,Gradesheet!#REF!)</f>
        <v>#REF!</v>
      </c>
      <c r="E769" s="138" t="e">
        <f>IF(Outline!$C$14&gt;0,Gradesheet!#REF!,Gradesheet!#REF!)</f>
        <v>#REF!</v>
      </c>
      <c r="F769" s="138" t="e">
        <f>IF(Outline!$C$14&gt;0,Gradesheet!#REF!,"NA")</f>
        <v>#REF!</v>
      </c>
      <c r="G769" s="138" t="e">
        <f>IF(Outline!$C$14&gt;0,Gradesheet!#REF!,Gradesheet!#REF!)</f>
        <v>#REF!</v>
      </c>
      <c r="H769" s="139" t="e">
        <f t="shared" si="12"/>
        <v>#REF!</v>
      </c>
    </row>
    <row r="770" spans="2:8" hidden="1" x14ac:dyDescent="0.25">
      <c r="B770" s="90" t="e">
        <f>Gradesheet!#REF!</f>
        <v>#REF!</v>
      </c>
      <c r="C770" s="91" t="e">
        <f>(Gradesheet!#REF!)</f>
        <v>#REF!</v>
      </c>
      <c r="D770" s="92" t="e">
        <f>IF(Outline!$C$14&gt;0,Gradesheet!#REF!,Gradesheet!#REF!)</f>
        <v>#REF!</v>
      </c>
      <c r="E770" s="138" t="e">
        <f>IF(Outline!$C$14&gt;0,Gradesheet!#REF!,Gradesheet!#REF!)</f>
        <v>#REF!</v>
      </c>
      <c r="F770" s="138" t="e">
        <f>IF(Outline!$C$14&gt;0,Gradesheet!#REF!,"NA")</f>
        <v>#REF!</v>
      </c>
      <c r="G770" s="138" t="e">
        <f>IF(Outline!$C$14&gt;0,Gradesheet!#REF!,Gradesheet!#REF!)</f>
        <v>#REF!</v>
      </c>
      <c r="H770" s="139" t="e">
        <f t="shared" si="12"/>
        <v>#REF!</v>
      </c>
    </row>
    <row r="771" spans="2:8" hidden="1" x14ac:dyDescent="0.25">
      <c r="B771" s="90" t="e">
        <f>Gradesheet!#REF!</f>
        <v>#REF!</v>
      </c>
      <c r="C771" s="91" t="e">
        <f>(Gradesheet!#REF!)</f>
        <v>#REF!</v>
      </c>
      <c r="D771" s="92" t="e">
        <f>IF(Outline!$C$14&gt;0,Gradesheet!#REF!,Gradesheet!#REF!)</f>
        <v>#REF!</v>
      </c>
      <c r="E771" s="138" t="e">
        <f>IF(Outline!$C$14&gt;0,Gradesheet!#REF!,Gradesheet!#REF!)</f>
        <v>#REF!</v>
      </c>
      <c r="F771" s="138" t="e">
        <f>IF(Outline!$C$14&gt;0,Gradesheet!#REF!,"NA")</f>
        <v>#REF!</v>
      </c>
      <c r="G771" s="138" t="e">
        <f>IF(Outline!$C$14&gt;0,Gradesheet!#REF!,Gradesheet!#REF!)</f>
        <v>#REF!</v>
      </c>
      <c r="H771" s="139" t="e">
        <f t="shared" si="12"/>
        <v>#REF!</v>
      </c>
    </row>
    <row r="772" spans="2:8" hidden="1" x14ac:dyDescent="0.25">
      <c r="B772" s="90" t="e">
        <f>Gradesheet!#REF!</f>
        <v>#REF!</v>
      </c>
      <c r="C772" s="91" t="e">
        <f>(Gradesheet!#REF!)</f>
        <v>#REF!</v>
      </c>
      <c r="D772" s="92" t="e">
        <f>IF(Outline!$C$14&gt;0,Gradesheet!#REF!,Gradesheet!#REF!)</f>
        <v>#REF!</v>
      </c>
      <c r="E772" s="138" t="e">
        <f>IF(Outline!$C$14&gt;0,Gradesheet!#REF!,Gradesheet!#REF!)</f>
        <v>#REF!</v>
      </c>
      <c r="F772" s="138" t="e">
        <f>IF(Outline!$C$14&gt;0,Gradesheet!#REF!,"NA")</f>
        <v>#REF!</v>
      </c>
      <c r="G772" s="138" t="e">
        <f>IF(Outline!$C$14&gt;0,Gradesheet!#REF!,Gradesheet!#REF!)</f>
        <v>#REF!</v>
      </c>
      <c r="H772" s="139" t="e">
        <f t="shared" si="12"/>
        <v>#REF!</v>
      </c>
    </row>
    <row r="773" spans="2:8" hidden="1" x14ac:dyDescent="0.25">
      <c r="B773" s="90" t="e">
        <f>Gradesheet!#REF!</f>
        <v>#REF!</v>
      </c>
      <c r="C773" s="91" t="e">
        <f>(Gradesheet!#REF!)</f>
        <v>#REF!</v>
      </c>
      <c r="D773" s="92" t="e">
        <f>IF(Outline!$C$14&gt;0,Gradesheet!#REF!,Gradesheet!#REF!)</f>
        <v>#REF!</v>
      </c>
      <c r="E773" s="138" t="e">
        <f>IF(Outline!$C$14&gt;0,Gradesheet!#REF!,Gradesheet!#REF!)</f>
        <v>#REF!</v>
      </c>
      <c r="F773" s="138" t="e">
        <f>IF(Outline!$C$14&gt;0,Gradesheet!#REF!,"NA")</f>
        <v>#REF!</v>
      </c>
      <c r="G773" s="138" t="e">
        <f>IF(Outline!$C$14&gt;0,Gradesheet!#REF!,Gradesheet!#REF!)</f>
        <v>#REF!</v>
      </c>
      <c r="H773" s="139" t="e">
        <f t="shared" si="12"/>
        <v>#REF!</v>
      </c>
    </row>
    <row r="774" spans="2:8" hidden="1" x14ac:dyDescent="0.25">
      <c r="B774" s="90" t="e">
        <f>Gradesheet!#REF!</f>
        <v>#REF!</v>
      </c>
      <c r="C774" s="91" t="e">
        <f>(Gradesheet!#REF!)</f>
        <v>#REF!</v>
      </c>
      <c r="D774" s="92" t="e">
        <f>IF(Outline!$C$14&gt;0,Gradesheet!#REF!,Gradesheet!#REF!)</f>
        <v>#REF!</v>
      </c>
      <c r="E774" s="138" t="e">
        <f>IF(Outline!$C$14&gt;0,Gradesheet!#REF!,Gradesheet!#REF!)</f>
        <v>#REF!</v>
      </c>
      <c r="F774" s="138" t="e">
        <f>IF(Outline!$C$14&gt;0,Gradesheet!#REF!,"NA")</f>
        <v>#REF!</v>
      </c>
      <c r="G774" s="138" t="e">
        <f>IF(Outline!$C$14&gt;0,Gradesheet!#REF!,Gradesheet!#REF!)</f>
        <v>#REF!</v>
      </c>
      <c r="H774" s="139" t="e">
        <f t="shared" si="12"/>
        <v>#REF!</v>
      </c>
    </row>
    <row r="775" spans="2:8" hidden="1" x14ac:dyDescent="0.25">
      <c r="B775" s="90" t="e">
        <f>Gradesheet!#REF!</f>
        <v>#REF!</v>
      </c>
      <c r="C775" s="91" t="e">
        <f>(Gradesheet!#REF!)</f>
        <v>#REF!</v>
      </c>
      <c r="D775" s="92" t="e">
        <f>IF(Outline!$C$14&gt;0,Gradesheet!#REF!,Gradesheet!#REF!)</f>
        <v>#REF!</v>
      </c>
      <c r="E775" s="138" t="e">
        <f>IF(Outline!$C$14&gt;0,Gradesheet!#REF!,Gradesheet!#REF!)</f>
        <v>#REF!</v>
      </c>
      <c r="F775" s="138" t="e">
        <f>IF(Outline!$C$14&gt;0,Gradesheet!#REF!,"NA")</f>
        <v>#REF!</v>
      </c>
      <c r="G775" s="138" t="e">
        <f>IF(Outline!$C$14&gt;0,Gradesheet!#REF!,Gradesheet!#REF!)</f>
        <v>#REF!</v>
      </c>
      <c r="H775" s="139" t="e">
        <f t="shared" ref="H775:H838" si="13">SUM(D775:G775)</f>
        <v>#REF!</v>
      </c>
    </row>
    <row r="776" spans="2:8" hidden="1" x14ac:dyDescent="0.25">
      <c r="B776" s="90" t="e">
        <f>Gradesheet!#REF!</f>
        <v>#REF!</v>
      </c>
      <c r="C776" s="91" t="e">
        <f>(Gradesheet!#REF!)</f>
        <v>#REF!</v>
      </c>
      <c r="D776" s="92" t="e">
        <f>IF(Outline!$C$14&gt;0,Gradesheet!#REF!,Gradesheet!#REF!)</f>
        <v>#REF!</v>
      </c>
      <c r="E776" s="138" t="e">
        <f>IF(Outline!$C$14&gt;0,Gradesheet!#REF!,Gradesheet!#REF!)</f>
        <v>#REF!</v>
      </c>
      <c r="F776" s="138" t="e">
        <f>IF(Outline!$C$14&gt;0,Gradesheet!#REF!,"NA")</f>
        <v>#REF!</v>
      </c>
      <c r="G776" s="138" t="e">
        <f>IF(Outline!$C$14&gt;0,Gradesheet!#REF!,Gradesheet!#REF!)</f>
        <v>#REF!</v>
      </c>
      <c r="H776" s="139" t="e">
        <f t="shared" si="13"/>
        <v>#REF!</v>
      </c>
    </row>
    <row r="777" spans="2:8" hidden="1" x14ac:dyDescent="0.25">
      <c r="B777" s="90" t="e">
        <f>Gradesheet!#REF!</f>
        <v>#REF!</v>
      </c>
      <c r="C777" s="91" t="e">
        <f>(Gradesheet!#REF!)</f>
        <v>#REF!</v>
      </c>
      <c r="D777" s="92" t="e">
        <f>IF(Outline!$C$14&gt;0,Gradesheet!#REF!,Gradesheet!#REF!)</f>
        <v>#REF!</v>
      </c>
      <c r="E777" s="138" t="e">
        <f>IF(Outline!$C$14&gt;0,Gradesheet!#REF!,Gradesheet!#REF!)</f>
        <v>#REF!</v>
      </c>
      <c r="F777" s="138" t="e">
        <f>IF(Outline!$C$14&gt;0,Gradesheet!#REF!,"NA")</f>
        <v>#REF!</v>
      </c>
      <c r="G777" s="138" t="e">
        <f>IF(Outline!$C$14&gt;0,Gradesheet!#REF!,Gradesheet!#REF!)</f>
        <v>#REF!</v>
      </c>
      <c r="H777" s="139" t="e">
        <f t="shared" si="13"/>
        <v>#REF!</v>
      </c>
    </row>
    <row r="778" spans="2:8" hidden="1" x14ac:dyDescent="0.25">
      <c r="B778" s="90" t="e">
        <f>Gradesheet!#REF!</f>
        <v>#REF!</v>
      </c>
      <c r="C778" s="91" t="e">
        <f>(Gradesheet!#REF!)</f>
        <v>#REF!</v>
      </c>
      <c r="D778" s="92" t="e">
        <f>IF(Outline!$C$14&gt;0,Gradesheet!#REF!,Gradesheet!#REF!)</f>
        <v>#REF!</v>
      </c>
      <c r="E778" s="138" t="e">
        <f>IF(Outline!$C$14&gt;0,Gradesheet!#REF!,Gradesheet!#REF!)</f>
        <v>#REF!</v>
      </c>
      <c r="F778" s="138" t="e">
        <f>IF(Outline!$C$14&gt;0,Gradesheet!#REF!,"NA")</f>
        <v>#REF!</v>
      </c>
      <c r="G778" s="138" t="e">
        <f>IF(Outline!$C$14&gt;0,Gradesheet!#REF!,Gradesheet!#REF!)</f>
        <v>#REF!</v>
      </c>
      <c r="H778" s="139" t="e">
        <f t="shared" si="13"/>
        <v>#REF!</v>
      </c>
    </row>
    <row r="779" spans="2:8" hidden="1" x14ac:dyDescent="0.25">
      <c r="B779" s="90" t="e">
        <f>Gradesheet!#REF!</f>
        <v>#REF!</v>
      </c>
      <c r="C779" s="91" t="e">
        <f>(Gradesheet!#REF!)</f>
        <v>#REF!</v>
      </c>
      <c r="D779" s="92" t="e">
        <f>IF(Outline!$C$14&gt;0,Gradesheet!#REF!,Gradesheet!#REF!)</f>
        <v>#REF!</v>
      </c>
      <c r="E779" s="138" t="e">
        <f>IF(Outline!$C$14&gt;0,Gradesheet!#REF!,Gradesheet!#REF!)</f>
        <v>#REF!</v>
      </c>
      <c r="F779" s="138" t="e">
        <f>IF(Outline!$C$14&gt;0,Gradesheet!#REF!,"NA")</f>
        <v>#REF!</v>
      </c>
      <c r="G779" s="138" t="e">
        <f>IF(Outline!$C$14&gt;0,Gradesheet!#REF!,Gradesheet!#REF!)</f>
        <v>#REF!</v>
      </c>
      <c r="H779" s="139" t="e">
        <f t="shared" si="13"/>
        <v>#REF!</v>
      </c>
    </row>
    <row r="780" spans="2:8" hidden="1" x14ac:dyDescent="0.25">
      <c r="B780" s="90" t="e">
        <f>Gradesheet!#REF!</f>
        <v>#REF!</v>
      </c>
      <c r="C780" s="91" t="e">
        <f>(Gradesheet!#REF!)</f>
        <v>#REF!</v>
      </c>
      <c r="D780" s="92" t="e">
        <f>IF(Outline!$C$14&gt;0,Gradesheet!#REF!,Gradesheet!#REF!)</f>
        <v>#REF!</v>
      </c>
      <c r="E780" s="138" t="e">
        <f>IF(Outline!$C$14&gt;0,Gradesheet!#REF!,Gradesheet!#REF!)</f>
        <v>#REF!</v>
      </c>
      <c r="F780" s="138" t="e">
        <f>IF(Outline!$C$14&gt;0,Gradesheet!#REF!,"NA")</f>
        <v>#REF!</v>
      </c>
      <c r="G780" s="138" t="e">
        <f>IF(Outline!$C$14&gt;0,Gradesheet!#REF!,Gradesheet!#REF!)</f>
        <v>#REF!</v>
      </c>
      <c r="H780" s="139" t="e">
        <f t="shared" si="13"/>
        <v>#REF!</v>
      </c>
    </row>
    <row r="781" spans="2:8" hidden="1" x14ac:dyDescent="0.25">
      <c r="B781" s="90" t="e">
        <f>Gradesheet!#REF!</f>
        <v>#REF!</v>
      </c>
      <c r="C781" s="91" t="e">
        <f>(Gradesheet!#REF!)</f>
        <v>#REF!</v>
      </c>
      <c r="D781" s="92" t="e">
        <f>IF(Outline!$C$14&gt;0,Gradesheet!#REF!,Gradesheet!#REF!)</f>
        <v>#REF!</v>
      </c>
      <c r="E781" s="138" t="e">
        <f>IF(Outline!$C$14&gt;0,Gradesheet!#REF!,Gradesheet!#REF!)</f>
        <v>#REF!</v>
      </c>
      <c r="F781" s="138" t="e">
        <f>IF(Outline!$C$14&gt;0,Gradesheet!#REF!,"NA")</f>
        <v>#REF!</v>
      </c>
      <c r="G781" s="138" t="e">
        <f>IF(Outline!$C$14&gt;0,Gradesheet!#REF!,Gradesheet!#REF!)</f>
        <v>#REF!</v>
      </c>
      <c r="H781" s="139" t="e">
        <f t="shared" si="13"/>
        <v>#REF!</v>
      </c>
    </row>
    <row r="782" spans="2:8" hidden="1" x14ac:dyDescent="0.25">
      <c r="B782" s="90" t="e">
        <f>Gradesheet!#REF!</f>
        <v>#REF!</v>
      </c>
      <c r="C782" s="91" t="e">
        <f>(Gradesheet!#REF!)</f>
        <v>#REF!</v>
      </c>
      <c r="D782" s="92" t="e">
        <f>IF(Outline!$C$14&gt;0,Gradesheet!#REF!,Gradesheet!#REF!)</f>
        <v>#REF!</v>
      </c>
      <c r="E782" s="138" t="e">
        <f>IF(Outline!$C$14&gt;0,Gradesheet!#REF!,Gradesheet!#REF!)</f>
        <v>#REF!</v>
      </c>
      <c r="F782" s="138" t="e">
        <f>IF(Outline!$C$14&gt;0,Gradesheet!#REF!,"NA")</f>
        <v>#REF!</v>
      </c>
      <c r="G782" s="138" t="e">
        <f>IF(Outline!$C$14&gt;0,Gradesheet!#REF!,Gradesheet!#REF!)</f>
        <v>#REF!</v>
      </c>
      <c r="H782" s="139" t="e">
        <f t="shared" si="13"/>
        <v>#REF!</v>
      </c>
    </row>
    <row r="783" spans="2:8" hidden="1" x14ac:dyDescent="0.25">
      <c r="B783" s="90" t="e">
        <f>Gradesheet!#REF!</f>
        <v>#REF!</v>
      </c>
      <c r="C783" s="91" t="e">
        <f>(Gradesheet!#REF!)</f>
        <v>#REF!</v>
      </c>
      <c r="D783" s="92" t="e">
        <f>IF(Outline!$C$14&gt;0,Gradesheet!#REF!,Gradesheet!#REF!)</f>
        <v>#REF!</v>
      </c>
      <c r="E783" s="138" t="e">
        <f>IF(Outline!$C$14&gt;0,Gradesheet!#REF!,Gradesheet!#REF!)</f>
        <v>#REF!</v>
      </c>
      <c r="F783" s="138" t="e">
        <f>IF(Outline!$C$14&gt;0,Gradesheet!#REF!,"NA")</f>
        <v>#REF!</v>
      </c>
      <c r="G783" s="138" t="e">
        <f>IF(Outline!$C$14&gt;0,Gradesheet!#REF!,Gradesheet!#REF!)</f>
        <v>#REF!</v>
      </c>
      <c r="H783" s="139" t="e">
        <f t="shared" si="13"/>
        <v>#REF!</v>
      </c>
    </row>
    <row r="784" spans="2:8" hidden="1" x14ac:dyDescent="0.25">
      <c r="B784" s="90" t="e">
        <f>Gradesheet!#REF!</f>
        <v>#REF!</v>
      </c>
      <c r="C784" s="91" t="e">
        <f>(Gradesheet!#REF!)</f>
        <v>#REF!</v>
      </c>
      <c r="D784" s="92" t="e">
        <f>IF(Outline!$C$14&gt;0,Gradesheet!#REF!,Gradesheet!#REF!)</f>
        <v>#REF!</v>
      </c>
      <c r="E784" s="138" t="e">
        <f>IF(Outline!$C$14&gt;0,Gradesheet!#REF!,Gradesheet!#REF!)</f>
        <v>#REF!</v>
      </c>
      <c r="F784" s="138" t="e">
        <f>IF(Outline!$C$14&gt;0,Gradesheet!#REF!,"NA")</f>
        <v>#REF!</v>
      </c>
      <c r="G784" s="138" t="e">
        <f>IF(Outline!$C$14&gt;0,Gradesheet!#REF!,Gradesheet!#REF!)</f>
        <v>#REF!</v>
      </c>
      <c r="H784" s="139" t="e">
        <f t="shared" si="13"/>
        <v>#REF!</v>
      </c>
    </row>
    <row r="785" spans="2:8" hidden="1" x14ac:dyDescent="0.25">
      <c r="B785" s="90" t="e">
        <f>Gradesheet!#REF!</f>
        <v>#REF!</v>
      </c>
      <c r="C785" s="91" t="e">
        <f>(Gradesheet!#REF!)</f>
        <v>#REF!</v>
      </c>
      <c r="D785" s="92" t="e">
        <f>IF(Outline!$C$14&gt;0,Gradesheet!#REF!,Gradesheet!#REF!)</f>
        <v>#REF!</v>
      </c>
      <c r="E785" s="138" t="e">
        <f>IF(Outline!$C$14&gt;0,Gradesheet!#REF!,Gradesheet!#REF!)</f>
        <v>#REF!</v>
      </c>
      <c r="F785" s="138" t="e">
        <f>IF(Outline!$C$14&gt;0,Gradesheet!#REF!,"NA")</f>
        <v>#REF!</v>
      </c>
      <c r="G785" s="138" t="e">
        <f>IF(Outline!$C$14&gt;0,Gradesheet!#REF!,Gradesheet!#REF!)</f>
        <v>#REF!</v>
      </c>
      <c r="H785" s="139" t="e">
        <f t="shared" si="13"/>
        <v>#REF!</v>
      </c>
    </row>
    <row r="786" spans="2:8" hidden="1" x14ac:dyDescent="0.25">
      <c r="B786" s="90" t="e">
        <f>Gradesheet!#REF!</f>
        <v>#REF!</v>
      </c>
      <c r="C786" s="91" t="e">
        <f>(Gradesheet!#REF!)</f>
        <v>#REF!</v>
      </c>
      <c r="D786" s="92" t="e">
        <f>IF(Outline!$C$14&gt;0,Gradesheet!#REF!,Gradesheet!#REF!)</f>
        <v>#REF!</v>
      </c>
      <c r="E786" s="138" t="e">
        <f>IF(Outline!$C$14&gt;0,Gradesheet!#REF!,Gradesheet!#REF!)</f>
        <v>#REF!</v>
      </c>
      <c r="F786" s="138" t="e">
        <f>IF(Outline!$C$14&gt;0,Gradesheet!#REF!,"NA")</f>
        <v>#REF!</v>
      </c>
      <c r="G786" s="138" t="e">
        <f>IF(Outline!$C$14&gt;0,Gradesheet!#REF!,Gradesheet!#REF!)</f>
        <v>#REF!</v>
      </c>
      <c r="H786" s="139" t="e">
        <f t="shared" si="13"/>
        <v>#REF!</v>
      </c>
    </row>
    <row r="787" spans="2:8" hidden="1" x14ac:dyDescent="0.25">
      <c r="B787" s="90" t="e">
        <f>Gradesheet!#REF!</f>
        <v>#REF!</v>
      </c>
      <c r="C787" s="91" t="e">
        <f>(Gradesheet!#REF!)</f>
        <v>#REF!</v>
      </c>
      <c r="D787" s="92" t="e">
        <f>IF(Outline!$C$14&gt;0,Gradesheet!#REF!,Gradesheet!#REF!)</f>
        <v>#REF!</v>
      </c>
      <c r="E787" s="138" t="e">
        <f>IF(Outline!$C$14&gt;0,Gradesheet!#REF!,Gradesheet!#REF!)</f>
        <v>#REF!</v>
      </c>
      <c r="F787" s="138" t="e">
        <f>IF(Outline!$C$14&gt;0,Gradesheet!#REF!,"NA")</f>
        <v>#REF!</v>
      </c>
      <c r="G787" s="138" t="e">
        <f>IF(Outline!$C$14&gt;0,Gradesheet!#REF!,Gradesheet!#REF!)</f>
        <v>#REF!</v>
      </c>
      <c r="H787" s="139" t="e">
        <f t="shared" si="13"/>
        <v>#REF!</v>
      </c>
    </row>
    <row r="788" spans="2:8" hidden="1" x14ac:dyDescent="0.25">
      <c r="B788" s="90" t="e">
        <f>Gradesheet!#REF!</f>
        <v>#REF!</v>
      </c>
      <c r="C788" s="91" t="e">
        <f>(Gradesheet!#REF!)</f>
        <v>#REF!</v>
      </c>
      <c r="D788" s="92" t="e">
        <f>IF(Outline!$C$14&gt;0,Gradesheet!#REF!,Gradesheet!#REF!)</f>
        <v>#REF!</v>
      </c>
      <c r="E788" s="138" t="e">
        <f>IF(Outline!$C$14&gt;0,Gradesheet!#REF!,Gradesheet!#REF!)</f>
        <v>#REF!</v>
      </c>
      <c r="F788" s="138" t="e">
        <f>IF(Outline!$C$14&gt;0,Gradesheet!#REF!,"NA")</f>
        <v>#REF!</v>
      </c>
      <c r="G788" s="138" t="e">
        <f>IF(Outline!$C$14&gt;0,Gradesheet!#REF!,Gradesheet!#REF!)</f>
        <v>#REF!</v>
      </c>
      <c r="H788" s="139" t="e">
        <f t="shared" si="13"/>
        <v>#REF!</v>
      </c>
    </row>
    <row r="789" spans="2:8" hidden="1" x14ac:dyDescent="0.25">
      <c r="B789" s="90" t="e">
        <f>Gradesheet!#REF!</f>
        <v>#REF!</v>
      </c>
      <c r="C789" s="91" t="e">
        <f>(Gradesheet!#REF!)</f>
        <v>#REF!</v>
      </c>
      <c r="D789" s="92" t="e">
        <f>IF(Outline!$C$14&gt;0,Gradesheet!#REF!,Gradesheet!#REF!)</f>
        <v>#REF!</v>
      </c>
      <c r="E789" s="138" t="e">
        <f>IF(Outline!$C$14&gt;0,Gradesheet!#REF!,Gradesheet!#REF!)</f>
        <v>#REF!</v>
      </c>
      <c r="F789" s="138" t="e">
        <f>IF(Outline!$C$14&gt;0,Gradesheet!#REF!,"NA")</f>
        <v>#REF!</v>
      </c>
      <c r="G789" s="138" t="e">
        <f>IF(Outline!$C$14&gt;0,Gradesheet!#REF!,Gradesheet!#REF!)</f>
        <v>#REF!</v>
      </c>
      <c r="H789" s="139" t="e">
        <f t="shared" si="13"/>
        <v>#REF!</v>
      </c>
    </row>
    <row r="790" spans="2:8" hidden="1" x14ac:dyDescent="0.25">
      <c r="B790" s="90" t="e">
        <f>Gradesheet!#REF!</f>
        <v>#REF!</v>
      </c>
      <c r="C790" s="91" t="e">
        <f>(Gradesheet!#REF!)</f>
        <v>#REF!</v>
      </c>
      <c r="D790" s="92" t="e">
        <f>IF(Outline!$C$14&gt;0,Gradesheet!#REF!,Gradesheet!#REF!)</f>
        <v>#REF!</v>
      </c>
      <c r="E790" s="138" t="e">
        <f>IF(Outline!$C$14&gt;0,Gradesheet!#REF!,Gradesheet!#REF!)</f>
        <v>#REF!</v>
      </c>
      <c r="F790" s="138" t="e">
        <f>IF(Outline!$C$14&gt;0,Gradesheet!#REF!,"NA")</f>
        <v>#REF!</v>
      </c>
      <c r="G790" s="138" t="e">
        <f>IF(Outline!$C$14&gt;0,Gradesheet!#REF!,Gradesheet!#REF!)</f>
        <v>#REF!</v>
      </c>
      <c r="H790" s="139" t="e">
        <f t="shared" si="13"/>
        <v>#REF!</v>
      </c>
    </row>
    <row r="791" spans="2:8" hidden="1" x14ac:dyDescent="0.25">
      <c r="B791" s="90" t="e">
        <f>Gradesheet!#REF!</f>
        <v>#REF!</v>
      </c>
      <c r="C791" s="91" t="e">
        <f>(Gradesheet!#REF!)</f>
        <v>#REF!</v>
      </c>
      <c r="D791" s="92" t="e">
        <f>IF(Outline!$C$14&gt;0,Gradesheet!#REF!,Gradesheet!#REF!)</f>
        <v>#REF!</v>
      </c>
      <c r="E791" s="138" t="e">
        <f>IF(Outline!$C$14&gt;0,Gradesheet!#REF!,Gradesheet!#REF!)</f>
        <v>#REF!</v>
      </c>
      <c r="F791" s="138" t="e">
        <f>IF(Outline!$C$14&gt;0,Gradesheet!#REF!,"NA")</f>
        <v>#REF!</v>
      </c>
      <c r="G791" s="138" t="e">
        <f>IF(Outline!$C$14&gt;0,Gradesheet!#REF!,Gradesheet!#REF!)</f>
        <v>#REF!</v>
      </c>
      <c r="H791" s="139" t="e">
        <f t="shared" si="13"/>
        <v>#REF!</v>
      </c>
    </row>
    <row r="792" spans="2:8" hidden="1" x14ac:dyDescent="0.25">
      <c r="B792" s="90" t="e">
        <f>Gradesheet!#REF!</f>
        <v>#REF!</v>
      </c>
      <c r="C792" s="91" t="e">
        <f>(Gradesheet!#REF!)</f>
        <v>#REF!</v>
      </c>
      <c r="D792" s="92" t="e">
        <f>IF(Outline!$C$14&gt;0,Gradesheet!#REF!,Gradesheet!#REF!)</f>
        <v>#REF!</v>
      </c>
      <c r="E792" s="138" t="e">
        <f>IF(Outline!$C$14&gt;0,Gradesheet!#REF!,Gradesheet!#REF!)</f>
        <v>#REF!</v>
      </c>
      <c r="F792" s="138" t="e">
        <f>IF(Outline!$C$14&gt;0,Gradesheet!#REF!,"NA")</f>
        <v>#REF!</v>
      </c>
      <c r="G792" s="138" t="e">
        <f>IF(Outline!$C$14&gt;0,Gradesheet!#REF!,Gradesheet!#REF!)</f>
        <v>#REF!</v>
      </c>
      <c r="H792" s="139" t="e">
        <f t="shared" si="13"/>
        <v>#REF!</v>
      </c>
    </row>
    <row r="793" spans="2:8" hidden="1" x14ac:dyDescent="0.25">
      <c r="B793" s="90" t="e">
        <f>Gradesheet!#REF!</f>
        <v>#REF!</v>
      </c>
      <c r="C793" s="91" t="e">
        <f>(Gradesheet!#REF!)</f>
        <v>#REF!</v>
      </c>
      <c r="D793" s="92" t="e">
        <f>IF(Outline!$C$14&gt;0,Gradesheet!#REF!,Gradesheet!#REF!)</f>
        <v>#REF!</v>
      </c>
      <c r="E793" s="138" t="e">
        <f>IF(Outline!$C$14&gt;0,Gradesheet!#REF!,Gradesheet!#REF!)</f>
        <v>#REF!</v>
      </c>
      <c r="F793" s="138" t="e">
        <f>IF(Outline!$C$14&gt;0,Gradesheet!#REF!,"NA")</f>
        <v>#REF!</v>
      </c>
      <c r="G793" s="138" t="e">
        <f>IF(Outline!$C$14&gt;0,Gradesheet!#REF!,Gradesheet!#REF!)</f>
        <v>#REF!</v>
      </c>
      <c r="H793" s="139" t="e">
        <f t="shared" si="13"/>
        <v>#REF!</v>
      </c>
    </row>
    <row r="794" spans="2:8" hidden="1" x14ac:dyDescent="0.25">
      <c r="B794" s="90" t="e">
        <f>Gradesheet!#REF!</f>
        <v>#REF!</v>
      </c>
      <c r="C794" s="91" t="e">
        <f>(Gradesheet!#REF!)</f>
        <v>#REF!</v>
      </c>
      <c r="D794" s="92" t="e">
        <f>IF(Outline!$C$14&gt;0,Gradesheet!#REF!,Gradesheet!#REF!)</f>
        <v>#REF!</v>
      </c>
      <c r="E794" s="138" t="e">
        <f>IF(Outline!$C$14&gt;0,Gradesheet!#REF!,Gradesheet!#REF!)</f>
        <v>#REF!</v>
      </c>
      <c r="F794" s="138" t="e">
        <f>IF(Outline!$C$14&gt;0,Gradesheet!#REF!,"NA")</f>
        <v>#REF!</v>
      </c>
      <c r="G794" s="138" t="e">
        <f>IF(Outline!$C$14&gt;0,Gradesheet!#REF!,Gradesheet!#REF!)</f>
        <v>#REF!</v>
      </c>
      <c r="H794" s="139" t="e">
        <f t="shared" si="13"/>
        <v>#REF!</v>
      </c>
    </row>
    <row r="795" spans="2:8" hidden="1" x14ac:dyDescent="0.25">
      <c r="B795" s="90" t="e">
        <f>Gradesheet!#REF!</f>
        <v>#REF!</v>
      </c>
      <c r="C795" s="91" t="e">
        <f>(Gradesheet!#REF!)</f>
        <v>#REF!</v>
      </c>
      <c r="D795" s="92" t="e">
        <f>IF(Outline!$C$14&gt;0,Gradesheet!#REF!,Gradesheet!#REF!)</f>
        <v>#REF!</v>
      </c>
      <c r="E795" s="138" t="e">
        <f>IF(Outline!$C$14&gt;0,Gradesheet!#REF!,Gradesheet!#REF!)</f>
        <v>#REF!</v>
      </c>
      <c r="F795" s="138" t="e">
        <f>IF(Outline!$C$14&gt;0,Gradesheet!#REF!,"NA")</f>
        <v>#REF!</v>
      </c>
      <c r="G795" s="138" t="e">
        <f>IF(Outline!$C$14&gt;0,Gradesheet!#REF!,Gradesheet!#REF!)</f>
        <v>#REF!</v>
      </c>
      <c r="H795" s="139" t="e">
        <f t="shared" si="13"/>
        <v>#REF!</v>
      </c>
    </row>
    <row r="796" spans="2:8" hidden="1" x14ac:dyDescent="0.25">
      <c r="B796" s="90" t="e">
        <f>Gradesheet!#REF!</f>
        <v>#REF!</v>
      </c>
      <c r="C796" s="91" t="e">
        <f>(Gradesheet!#REF!)</f>
        <v>#REF!</v>
      </c>
      <c r="D796" s="92" t="e">
        <f>IF(Outline!$C$14&gt;0,Gradesheet!#REF!,Gradesheet!#REF!)</f>
        <v>#REF!</v>
      </c>
      <c r="E796" s="138" t="e">
        <f>IF(Outline!$C$14&gt;0,Gradesheet!#REF!,Gradesheet!#REF!)</f>
        <v>#REF!</v>
      </c>
      <c r="F796" s="138" t="e">
        <f>IF(Outline!$C$14&gt;0,Gradesheet!#REF!,"NA")</f>
        <v>#REF!</v>
      </c>
      <c r="G796" s="138" t="e">
        <f>IF(Outline!$C$14&gt;0,Gradesheet!#REF!,Gradesheet!#REF!)</f>
        <v>#REF!</v>
      </c>
      <c r="H796" s="139" t="e">
        <f t="shared" si="13"/>
        <v>#REF!</v>
      </c>
    </row>
    <row r="797" spans="2:8" hidden="1" x14ac:dyDescent="0.25">
      <c r="B797" s="90" t="e">
        <f>Gradesheet!#REF!</f>
        <v>#REF!</v>
      </c>
      <c r="C797" s="91" t="e">
        <f>(Gradesheet!#REF!)</f>
        <v>#REF!</v>
      </c>
      <c r="D797" s="92" t="e">
        <f>IF(Outline!$C$14&gt;0,Gradesheet!#REF!,Gradesheet!#REF!)</f>
        <v>#REF!</v>
      </c>
      <c r="E797" s="138" t="e">
        <f>IF(Outline!$C$14&gt;0,Gradesheet!#REF!,Gradesheet!#REF!)</f>
        <v>#REF!</v>
      </c>
      <c r="F797" s="138" t="e">
        <f>IF(Outline!$C$14&gt;0,Gradesheet!#REF!,"NA")</f>
        <v>#REF!</v>
      </c>
      <c r="G797" s="138" t="e">
        <f>IF(Outline!$C$14&gt;0,Gradesheet!#REF!,Gradesheet!#REF!)</f>
        <v>#REF!</v>
      </c>
      <c r="H797" s="139" t="e">
        <f t="shared" si="13"/>
        <v>#REF!</v>
      </c>
    </row>
    <row r="798" spans="2:8" hidden="1" x14ac:dyDescent="0.25">
      <c r="B798" s="90" t="e">
        <f>Gradesheet!#REF!</f>
        <v>#REF!</v>
      </c>
      <c r="C798" s="91" t="e">
        <f>(Gradesheet!#REF!)</f>
        <v>#REF!</v>
      </c>
      <c r="D798" s="92" t="e">
        <f>IF(Outline!$C$14&gt;0,Gradesheet!#REF!,Gradesheet!#REF!)</f>
        <v>#REF!</v>
      </c>
      <c r="E798" s="138" t="e">
        <f>IF(Outline!$C$14&gt;0,Gradesheet!#REF!,Gradesheet!#REF!)</f>
        <v>#REF!</v>
      </c>
      <c r="F798" s="138" t="e">
        <f>IF(Outline!$C$14&gt;0,Gradesheet!#REF!,"NA")</f>
        <v>#REF!</v>
      </c>
      <c r="G798" s="138" t="e">
        <f>IF(Outline!$C$14&gt;0,Gradesheet!#REF!,Gradesheet!#REF!)</f>
        <v>#REF!</v>
      </c>
      <c r="H798" s="139" t="e">
        <f t="shared" si="13"/>
        <v>#REF!</v>
      </c>
    </row>
    <row r="799" spans="2:8" hidden="1" x14ac:dyDescent="0.25">
      <c r="B799" s="90" t="e">
        <f>Gradesheet!#REF!</f>
        <v>#REF!</v>
      </c>
      <c r="C799" s="91" t="e">
        <f>(Gradesheet!#REF!)</f>
        <v>#REF!</v>
      </c>
      <c r="D799" s="92" t="e">
        <f>IF(Outline!$C$14&gt;0,Gradesheet!#REF!,Gradesheet!#REF!)</f>
        <v>#REF!</v>
      </c>
      <c r="E799" s="138" t="e">
        <f>IF(Outline!$C$14&gt;0,Gradesheet!#REF!,Gradesheet!#REF!)</f>
        <v>#REF!</v>
      </c>
      <c r="F799" s="138" t="e">
        <f>IF(Outline!$C$14&gt;0,Gradesheet!#REF!,"NA")</f>
        <v>#REF!</v>
      </c>
      <c r="G799" s="138" t="e">
        <f>IF(Outline!$C$14&gt;0,Gradesheet!#REF!,Gradesheet!#REF!)</f>
        <v>#REF!</v>
      </c>
      <c r="H799" s="139" t="e">
        <f t="shared" si="13"/>
        <v>#REF!</v>
      </c>
    </row>
    <row r="800" spans="2:8" hidden="1" x14ac:dyDescent="0.25">
      <c r="B800" s="90" t="e">
        <f>Gradesheet!#REF!</f>
        <v>#REF!</v>
      </c>
      <c r="C800" s="91" t="e">
        <f>(Gradesheet!#REF!)</f>
        <v>#REF!</v>
      </c>
      <c r="D800" s="92" t="e">
        <f>IF(Outline!$C$14&gt;0,Gradesheet!#REF!,Gradesheet!#REF!)</f>
        <v>#REF!</v>
      </c>
      <c r="E800" s="138" t="e">
        <f>IF(Outline!$C$14&gt;0,Gradesheet!#REF!,Gradesheet!#REF!)</f>
        <v>#REF!</v>
      </c>
      <c r="F800" s="138" t="e">
        <f>IF(Outline!$C$14&gt;0,Gradesheet!#REF!,"NA")</f>
        <v>#REF!</v>
      </c>
      <c r="G800" s="138" t="e">
        <f>IF(Outline!$C$14&gt;0,Gradesheet!#REF!,Gradesheet!#REF!)</f>
        <v>#REF!</v>
      </c>
      <c r="H800" s="139" t="e">
        <f t="shared" si="13"/>
        <v>#REF!</v>
      </c>
    </row>
    <row r="801" spans="2:8" hidden="1" x14ac:dyDescent="0.25">
      <c r="B801" s="90" t="e">
        <f>Gradesheet!#REF!</f>
        <v>#REF!</v>
      </c>
      <c r="C801" s="91" t="e">
        <f>(Gradesheet!#REF!)</f>
        <v>#REF!</v>
      </c>
      <c r="D801" s="92" t="e">
        <f>IF(Outline!$C$14&gt;0,Gradesheet!#REF!,Gradesheet!#REF!)</f>
        <v>#REF!</v>
      </c>
      <c r="E801" s="138" t="e">
        <f>IF(Outline!$C$14&gt;0,Gradesheet!#REF!,Gradesheet!#REF!)</f>
        <v>#REF!</v>
      </c>
      <c r="F801" s="138" t="e">
        <f>IF(Outline!$C$14&gt;0,Gradesheet!#REF!,"NA")</f>
        <v>#REF!</v>
      </c>
      <c r="G801" s="138" t="e">
        <f>IF(Outline!$C$14&gt;0,Gradesheet!#REF!,Gradesheet!#REF!)</f>
        <v>#REF!</v>
      </c>
      <c r="H801" s="139" t="e">
        <f t="shared" si="13"/>
        <v>#REF!</v>
      </c>
    </row>
    <row r="802" spans="2:8" hidden="1" x14ac:dyDescent="0.25">
      <c r="B802" s="90" t="e">
        <f>Gradesheet!#REF!</f>
        <v>#REF!</v>
      </c>
      <c r="C802" s="91" t="e">
        <f>(Gradesheet!#REF!)</f>
        <v>#REF!</v>
      </c>
      <c r="D802" s="92" t="e">
        <f>IF(Outline!$C$14&gt;0,Gradesheet!#REF!,Gradesheet!#REF!)</f>
        <v>#REF!</v>
      </c>
      <c r="E802" s="138" t="e">
        <f>IF(Outline!$C$14&gt;0,Gradesheet!#REF!,Gradesheet!#REF!)</f>
        <v>#REF!</v>
      </c>
      <c r="F802" s="138" t="e">
        <f>IF(Outline!$C$14&gt;0,Gradesheet!#REF!,"NA")</f>
        <v>#REF!</v>
      </c>
      <c r="G802" s="138" t="e">
        <f>IF(Outline!$C$14&gt;0,Gradesheet!#REF!,Gradesheet!#REF!)</f>
        <v>#REF!</v>
      </c>
      <c r="H802" s="139" t="e">
        <f t="shared" si="13"/>
        <v>#REF!</v>
      </c>
    </row>
    <row r="803" spans="2:8" hidden="1" x14ac:dyDescent="0.25">
      <c r="B803" s="90" t="e">
        <f>Gradesheet!#REF!</f>
        <v>#REF!</v>
      </c>
      <c r="C803" s="91" t="e">
        <f>(Gradesheet!#REF!)</f>
        <v>#REF!</v>
      </c>
      <c r="D803" s="92" t="e">
        <f>IF(Outline!$C$14&gt;0,Gradesheet!#REF!,Gradesheet!#REF!)</f>
        <v>#REF!</v>
      </c>
      <c r="E803" s="138" t="e">
        <f>IF(Outline!$C$14&gt;0,Gradesheet!#REF!,Gradesheet!#REF!)</f>
        <v>#REF!</v>
      </c>
      <c r="F803" s="138" t="e">
        <f>IF(Outline!$C$14&gt;0,Gradesheet!#REF!,"NA")</f>
        <v>#REF!</v>
      </c>
      <c r="G803" s="138" t="e">
        <f>IF(Outline!$C$14&gt;0,Gradesheet!#REF!,Gradesheet!#REF!)</f>
        <v>#REF!</v>
      </c>
      <c r="H803" s="139" t="e">
        <f t="shared" si="13"/>
        <v>#REF!</v>
      </c>
    </row>
    <row r="804" spans="2:8" hidden="1" x14ac:dyDescent="0.25">
      <c r="B804" s="90" t="e">
        <f>Gradesheet!#REF!</f>
        <v>#REF!</v>
      </c>
      <c r="C804" s="91" t="e">
        <f>(Gradesheet!#REF!)</f>
        <v>#REF!</v>
      </c>
      <c r="D804" s="92" t="e">
        <f>IF(Outline!$C$14&gt;0,Gradesheet!#REF!,Gradesheet!#REF!)</f>
        <v>#REF!</v>
      </c>
      <c r="E804" s="138" t="e">
        <f>IF(Outline!$C$14&gt;0,Gradesheet!#REF!,Gradesheet!#REF!)</f>
        <v>#REF!</v>
      </c>
      <c r="F804" s="138" t="e">
        <f>IF(Outline!$C$14&gt;0,Gradesheet!#REF!,"NA")</f>
        <v>#REF!</v>
      </c>
      <c r="G804" s="138" t="e">
        <f>IF(Outline!$C$14&gt;0,Gradesheet!#REF!,Gradesheet!#REF!)</f>
        <v>#REF!</v>
      </c>
      <c r="H804" s="139" t="e">
        <f t="shared" si="13"/>
        <v>#REF!</v>
      </c>
    </row>
    <row r="805" spans="2:8" hidden="1" x14ac:dyDescent="0.25">
      <c r="B805" s="90" t="e">
        <f>Gradesheet!#REF!</f>
        <v>#REF!</v>
      </c>
      <c r="C805" s="91" t="e">
        <f>(Gradesheet!#REF!)</f>
        <v>#REF!</v>
      </c>
      <c r="D805" s="92" t="e">
        <f>IF(Outline!$C$14&gt;0,Gradesheet!#REF!,Gradesheet!#REF!)</f>
        <v>#REF!</v>
      </c>
      <c r="E805" s="138" t="e">
        <f>IF(Outline!$C$14&gt;0,Gradesheet!#REF!,Gradesheet!#REF!)</f>
        <v>#REF!</v>
      </c>
      <c r="F805" s="138" t="e">
        <f>IF(Outline!$C$14&gt;0,Gradesheet!#REF!,"NA")</f>
        <v>#REF!</v>
      </c>
      <c r="G805" s="138" t="e">
        <f>IF(Outline!$C$14&gt;0,Gradesheet!#REF!,Gradesheet!#REF!)</f>
        <v>#REF!</v>
      </c>
      <c r="H805" s="139" t="e">
        <f t="shared" si="13"/>
        <v>#REF!</v>
      </c>
    </row>
    <row r="806" spans="2:8" hidden="1" x14ac:dyDescent="0.25">
      <c r="B806" s="90" t="e">
        <f>Gradesheet!#REF!</f>
        <v>#REF!</v>
      </c>
      <c r="C806" s="91" t="e">
        <f>(Gradesheet!#REF!)</f>
        <v>#REF!</v>
      </c>
      <c r="D806" s="92" t="e">
        <f>IF(Outline!$C$14&gt;0,Gradesheet!#REF!,Gradesheet!#REF!)</f>
        <v>#REF!</v>
      </c>
      <c r="E806" s="138" t="e">
        <f>IF(Outline!$C$14&gt;0,Gradesheet!#REF!,Gradesheet!#REF!)</f>
        <v>#REF!</v>
      </c>
      <c r="F806" s="138" t="e">
        <f>IF(Outline!$C$14&gt;0,Gradesheet!#REF!,"NA")</f>
        <v>#REF!</v>
      </c>
      <c r="G806" s="138" t="e">
        <f>IF(Outline!$C$14&gt;0,Gradesheet!#REF!,Gradesheet!#REF!)</f>
        <v>#REF!</v>
      </c>
      <c r="H806" s="139" t="e">
        <f t="shared" si="13"/>
        <v>#REF!</v>
      </c>
    </row>
    <row r="807" spans="2:8" hidden="1" x14ac:dyDescent="0.25">
      <c r="B807" s="90" t="e">
        <f>Gradesheet!#REF!</f>
        <v>#REF!</v>
      </c>
      <c r="C807" s="91" t="e">
        <f>(Gradesheet!#REF!)</f>
        <v>#REF!</v>
      </c>
      <c r="D807" s="92" t="e">
        <f>IF(Outline!$C$14&gt;0,Gradesheet!#REF!,Gradesheet!#REF!)</f>
        <v>#REF!</v>
      </c>
      <c r="E807" s="138" t="e">
        <f>IF(Outline!$C$14&gt;0,Gradesheet!#REF!,Gradesheet!#REF!)</f>
        <v>#REF!</v>
      </c>
      <c r="F807" s="138" t="e">
        <f>IF(Outline!$C$14&gt;0,Gradesheet!#REF!,"NA")</f>
        <v>#REF!</v>
      </c>
      <c r="G807" s="138" t="e">
        <f>IF(Outline!$C$14&gt;0,Gradesheet!#REF!,Gradesheet!#REF!)</f>
        <v>#REF!</v>
      </c>
      <c r="H807" s="139" t="e">
        <f t="shared" si="13"/>
        <v>#REF!</v>
      </c>
    </row>
    <row r="808" spans="2:8" hidden="1" x14ac:dyDescent="0.25">
      <c r="B808" s="90" t="e">
        <f>Gradesheet!#REF!</f>
        <v>#REF!</v>
      </c>
      <c r="C808" s="91" t="e">
        <f>(Gradesheet!#REF!)</f>
        <v>#REF!</v>
      </c>
      <c r="D808" s="92" t="e">
        <f>IF(Outline!$C$14&gt;0,Gradesheet!#REF!,Gradesheet!#REF!)</f>
        <v>#REF!</v>
      </c>
      <c r="E808" s="138" t="e">
        <f>IF(Outline!$C$14&gt;0,Gradesheet!#REF!,Gradesheet!#REF!)</f>
        <v>#REF!</v>
      </c>
      <c r="F808" s="138" t="e">
        <f>IF(Outline!$C$14&gt;0,Gradesheet!#REF!,"NA")</f>
        <v>#REF!</v>
      </c>
      <c r="G808" s="138" t="e">
        <f>IF(Outline!$C$14&gt;0,Gradesheet!#REF!,Gradesheet!#REF!)</f>
        <v>#REF!</v>
      </c>
      <c r="H808" s="139" t="e">
        <f t="shared" si="13"/>
        <v>#REF!</v>
      </c>
    </row>
    <row r="809" spans="2:8" hidden="1" x14ac:dyDescent="0.25">
      <c r="B809" s="90" t="e">
        <f>Gradesheet!#REF!</f>
        <v>#REF!</v>
      </c>
      <c r="C809" s="91" t="e">
        <f>(Gradesheet!#REF!)</f>
        <v>#REF!</v>
      </c>
      <c r="D809" s="92" t="e">
        <f>IF(Outline!$C$14&gt;0,Gradesheet!#REF!,Gradesheet!#REF!)</f>
        <v>#REF!</v>
      </c>
      <c r="E809" s="138" t="e">
        <f>IF(Outline!$C$14&gt;0,Gradesheet!#REF!,Gradesheet!#REF!)</f>
        <v>#REF!</v>
      </c>
      <c r="F809" s="138" t="e">
        <f>IF(Outline!$C$14&gt;0,Gradesheet!#REF!,"NA")</f>
        <v>#REF!</v>
      </c>
      <c r="G809" s="138" t="e">
        <f>IF(Outline!$C$14&gt;0,Gradesheet!#REF!,Gradesheet!#REF!)</f>
        <v>#REF!</v>
      </c>
      <c r="H809" s="139" t="e">
        <f t="shared" si="13"/>
        <v>#REF!</v>
      </c>
    </row>
    <row r="810" spans="2:8" hidden="1" x14ac:dyDescent="0.25">
      <c r="B810" s="90" t="e">
        <f>Gradesheet!#REF!</f>
        <v>#REF!</v>
      </c>
      <c r="C810" s="91" t="e">
        <f>(Gradesheet!#REF!)</f>
        <v>#REF!</v>
      </c>
      <c r="D810" s="92" t="e">
        <f>IF(Outline!$C$14&gt;0,Gradesheet!#REF!,Gradesheet!#REF!)</f>
        <v>#REF!</v>
      </c>
      <c r="E810" s="138" t="e">
        <f>IF(Outline!$C$14&gt;0,Gradesheet!#REF!,Gradesheet!#REF!)</f>
        <v>#REF!</v>
      </c>
      <c r="F810" s="138" t="e">
        <f>IF(Outline!$C$14&gt;0,Gradesheet!#REF!,"NA")</f>
        <v>#REF!</v>
      </c>
      <c r="G810" s="138" t="e">
        <f>IF(Outline!$C$14&gt;0,Gradesheet!#REF!,Gradesheet!#REF!)</f>
        <v>#REF!</v>
      </c>
      <c r="H810" s="139" t="e">
        <f t="shared" si="13"/>
        <v>#REF!</v>
      </c>
    </row>
    <row r="811" spans="2:8" hidden="1" x14ac:dyDescent="0.25">
      <c r="B811" s="90" t="e">
        <f>Gradesheet!#REF!</f>
        <v>#REF!</v>
      </c>
      <c r="C811" s="91" t="e">
        <f>(Gradesheet!#REF!)</f>
        <v>#REF!</v>
      </c>
      <c r="D811" s="92" t="e">
        <f>IF(Outline!$C$14&gt;0,Gradesheet!#REF!,Gradesheet!#REF!)</f>
        <v>#REF!</v>
      </c>
      <c r="E811" s="138" t="e">
        <f>IF(Outline!$C$14&gt;0,Gradesheet!#REF!,Gradesheet!#REF!)</f>
        <v>#REF!</v>
      </c>
      <c r="F811" s="138" t="e">
        <f>IF(Outline!$C$14&gt;0,Gradesheet!#REF!,"NA")</f>
        <v>#REF!</v>
      </c>
      <c r="G811" s="138" t="e">
        <f>IF(Outline!$C$14&gt;0,Gradesheet!#REF!,Gradesheet!#REF!)</f>
        <v>#REF!</v>
      </c>
      <c r="H811" s="139" t="e">
        <f t="shared" si="13"/>
        <v>#REF!</v>
      </c>
    </row>
    <row r="812" spans="2:8" hidden="1" x14ac:dyDescent="0.25">
      <c r="B812" s="90" t="e">
        <f>Gradesheet!#REF!</f>
        <v>#REF!</v>
      </c>
      <c r="C812" s="91" t="e">
        <f>(Gradesheet!#REF!)</f>
        <v>#REF!</v>
      </c>
      <c r="D812" s="92" t="e">
        <f>IF(Outline!$C$14&gt;0,Gradesheet!#REF!,Gradesheet!#REF!)</f>
        <v>#REF!</v>
      </c>
      <c r="E812" s="138" t="e">
        <f>IF(Outline!$C$14&gt;0,Gradesheet!#REF!,Gradesheet!#REF!)</f>
        <v>#REF!</v>
      </c>
      <c r="F812" s="138" t="e">
        <f>IF(Outline!$C$14&gt;0,Gradesheet!#REF!,"NA")</f>
        <v>#REF!</v>
      </c>
      <c r="G812" s="138" t="e">
        <f>IF(Outline!$C$14&gt;0,Gradesheet!#REF!,Gradesheet!#REF!)</f>
        <v>#REF!</v>
      </c>
      <c r="H812" s="139" t="e">
        <f t="shared" si="13"/>
        <v>#REF!</v>
      </c>
    </row>
    <row r="813" spans="2:8" hidden="1" x14ac:dyDescent="0.25">
      <c r="B813" s="90" t="e">
        <f>Gradesheet!#REF!</f>
        <v>#REF!</v>
      </c>
      <c r="C813" s="91" t="e">
        <f>(Gradesheet!#REF!)</f>
        <v>#REF!</v>
      </c>
      <c r="D813" s="92" t="e">
        <f>IF(Outline!$C$14&gt;0,Gradesheet!#REF!,Gradesheet!#REF!)</f>
        <v>#REF!</v>
      </c>
      <c r="E813" s="138" t="e">
        <f>IF(Outline!$C$14&gt;0,Gradesheet!#REF!,Gradesheet!#REF!)</f>
        <v>#REF!</v>
      </c>
      <c r="F813" s="138" t="e">
        <f>IF(Outline!$C$14&gt;0,Gradesheet!#REF!,"NA")</f>
        <v>#REF!</v>
      </c>
      <c r="G813" s="138" t="e">
        <f>IF(Outline!$C$14&gt;0,Gradesheet!#REF!,Gradesheet!#REF!)</f>
        <v>#REF!</v>
      </c>
      <c r="H813" s="139" t="e">
        <f t="shared" si="13"/>
        <v>#REF!</v>
      </c>
    </row>
    <row r="814" spans="2:8" hidden="1" x14ac:dyDescent="0.25">
      <c r="B814" s="90" t="e">
        <f>Gradesheet!#REF!</f>
        <v>#REF!</v>
      </c>
      <c r="C814" s="91" t="e">
        <f>(Gradesheet!#REF!)</f>
        <v>#REF!</v>
      </c>
      <c r="D814" s="92" t="e">
        <f>IF(Outline!$C$14&gt;0,Gradesheet!#REF!,Gradesheet!#REF!)</f>
        <v>#REF!</v>
      </c>
      <c r="E814" s="138" t="e">
        <f>IF(Outline!$C$14&gt;0,Gradesheet!#REF!,Gradesheet!#REF!)</f>
        <v>#REF!</v>
      </c>
      <c r="F814" s="138" t="e">
        <f>IF(Outline!$C$14&gt;0,Gradesheet!#REF!,"NA")</f>
        <v>#REF!</v>
      </c>
      <c r="G814" s="138" t="e">
        <f>IF(Outline!$C$14&gt;0,Gradesheet!#REF!,Gradesheet!#REF!)</f>
        <v>#REF!</v>
      </c>
      <c r="H814" s="139" t="e">
        <f t="shared" si="13"/>
        <v>#REF!</v>
      </c>
    </row>
    <row r="815" spans="2:8" hidden="1" x14ac:dyDescent="0.25">
      <c r="B815" s="90" t="e">
        <f>Gradesheet!#REF!</f>
        <v>#REF!</v>
      </c>
      <c r="C815" s="91" t="e">
        <f>(Gradesheet!#REF!)</f>
        <v>#REF!</v>
      </c>
      <c r="D815" s="92" t="e">
        <f>IF(Outline!$C$14&gt;0,Gradesheet!#REF!,Gradesheet!#REF!)</f>
        <v>#REF!</v>
      </c>
      <c r="E815" s="138" t="e">
        <f>IF(Outline!$C$14&gt;0,Gradesheet!#REF!,Gradesheet!#REF!)</f>
        <v>#REF!</v>
      </c>
      <c r="F815" s="138" t="e">
        <f>IF(Outline!$C$14&gt;0,Gradesheet!#REF!,"NA")</f>
        <v>#REF!</v>
      </c>
      <c r="G815" s="138" t="e">
        <f>IF(Outline!$C$14&gt;0,Gradesheet!#REF!,Gradesheet!#REF!)</f>
        <v>#REF!</v>
      </c>
      <c r="H815" s="139" t="e">
        <f t="shared" si="13"/>
        <v>#REF!</v>
      </c>
    </row>
    <row r="816" spans="2:8" hidden="1" x14ac:dyDescent="0.25">
      <c r="B816" s="90" t="e">
        <f>Gradesheet!#REF!</f>
        <v>#REF!</v>
      </c>
      <c r="C816" s="91" t="e">
        <f>(Gradesheet!#REF!)</f>
        <v>#REF!</v>
      </c>
      <c r="D816" s="92" t="e">
        <f>IF(Outline!$C$14&gt;0,Gradesheet!#REF!,Gradesheet!#REF!)</f>
        <v>#REF!</v>
      </c>
      <c r="E816" s="138" t="e">
        <f>IF(Outline!$C$14&gt;0,Gradesheet!#REF!,Gradesheet!#REF!)</f>
        <v>#REF!</v>
      </c>
      <c r="F816" s="138" t="e">
        <f>IF(Outline!$C$14&gt;0,Gradesheet!#REF!,"NA")</f>
        <v>#REF!</v>
      </c>
      <c r="G816" s="138" t="e">
        <f>IF(Outline!$C$14&gt;0,Gradesheet!#REF!,Gradesheet!#REF!)</f>
        <v>#REF!</v>
      </c>
      <c r="H816" s="139" t="e">
        <f t="shared" si="13"/>
        <v>#REF!</v>
      </c>
    </row>
    <row r="817" spans="2:8" hidden="1" x14ac:dyDescent="0.25">
      <c r="B817" s="90" t="e">
        <f>Gradesheet!#REF!</f>
        <v>#REF!</v>
      </c>
      <c r="C817" s="91" t="e">
        <f>(Gradesheet!#REF!)</f>
        <v>#REF!</v>
      </c>
      <c r="D817" s="92" t="e">
        <f>IF(Outline!$C$14&gt;0,Gradesheet!#REF!,Gradesheet!#REF!)</f>
        <v>#REF!</v>
      </c>
      <c r="E817" s="138" t="e">
        <f>IF(Outline!$C$14&gt;0,Gradesheet!#REF!,Gradesheet!#REF!)</f>
        <v>#REF!</v>
      </c>
      <c r="F817" s="138" t="e">
        <f>IF(Outline!$C$14&gt;0,Gradesheet!#REF!,"NA")</f>
        <v>#REF!</v>
      </c>
      <c r="G817" s="138" t="e">
        <f>IF(Outline!$C$14&gt;0,Gradesheet!#REF!,Gradesheet!#REF!)</f>
        <v>#REF!</v>
      </c>
      <c r="H817" s="139" t="e">
        <f t="shared" si="13"/>
        <v>#REF!</v>
      </c>
    </row>
    <row r="818" spans="2:8" hidden="1" x14ac:dyDescent="0.25">
      <c r="B818" s="90" t="e">
        <f>Gradesheet!#REF!</f>
        <v>#REF!</v>
      </c>
      <c r="C818" s="91" t="e">
        <f>(Gradesheet!#REF!)</f>
        <v>#REF!</v>
      </c>
      <c r="D818" s="92" t="e">
        <f>IF(Outline!$C$14&gt;0,Gradesheet!#REF!,Gradesheet!#REF!)</f>
        <v>#REF!</v>
      </c>
      <c r="E818" s="138" t="e">
        <f>IF(Outline!$C$14&gt;0,Gradesheet!#REF!,Gradesheet!#REF!)</f>
        <v>#REF!</v>
      </c>
      <c r="F818" s="138" t="e">
        <f>IF(Outline!$C$14&gt;0,Gradesheet!#REF!,"NA")</f>
        <v>#REF!</v>
      </c>
      <c r="G818" s="138" t="e">
        <f>IF(Outline!$C$14&gt;0,Gradesheet!#REF!,Gradesheet!#REF!)</f>
        <v>#REF!</v>
      </c>
      <c r="H818" s="139" t="e">
        <f t="shared" si="13"/>
        <v>#REF!</v>
      </c>
    </row>
    <row r="819" spans="2:8" hidden="1" x14ac:dyDescent="0.25">
      <c r="B819" s="90" t="e">
        <f>Gradesheet!#REF!</f>
        <v>#REF!</v>
      </c>
      <c r="C819" s="91" t="e">
        <f>(Gradesheet!#REF!)</f>
        <v>#REF!</v>
      </c>
      <c r="D819" s="92" t="e">
        <f>IF(Outline!$C$14&gt;0,Gradesheet!#REF!,Gradesheet!#REF!)</f>
        <v>#REF!</v>
      </c>
      <c r="E819" s="138" t="e">
        <f>IF(Outline!$C$14&gt;0,Gradesheet!#REF!,Gradesheet!#REF!)</f>
        <v>#REF!</v>
      </c>
      <c r="F819" s="138" t="e">
        <f>IF(Outline!$C$14&gt;0,Gradesheet!#REF!,"NA")</f>
        <v>#REF!</v>
      </c>
      <c r="G819" s="138" t="e">
        <f>IF(Outline!$C$14&gt;0,Gradesheet!#REF!,Gradesheet!#REF!)</f>
        <v>#REF!</v>
      </c>
      <c r="H819" s="139" t="e">
        <f t="shared" si="13"/>
        <v>#REF!</v>
      </c>
    </row>
    <row r="820" spans="2:8" hidden="1" x14ac:dyDescent="0.25">
      <c r="B820" s="90" t="e">
        <f>Gradesheet!#REF!</f>
        <v>#REF!</v>
      </c>
      <c r="C820" s="91" t="e">
        <f>(Gradesheet!#REF!)</f>
        <v>#REF!</v>
      </c>
      <c r="D820" s="92" t="e">
        <f>IF(Outline!$C$14&gt;0,Gradesheet!#REF!,Gradesheet!#REF!)</f>
        <v>#REF!</v>
      </c>
      <c r="E820" s="138" t="e">
        <f>IF(Outline!$C$14&gt;0,Gradesheet!#REF!,Gradesheet!#REF!)</f>
        <v>#REF!</v>
      </c>
      <c r="F820" s="138" t="e">
        <f>IF(Outline!$C$14&gt;0,Gradesheet!#REF!,"NA")</f>
        <v>#REF!</v>
      </c>
      <c r="G820" s="138" t="e">
        <f>IF(Outline!$C$14&gt;0,Gradesheet!#REF!,Gradesheet!#REF!)</f>
        <v>#REF!</v>
      </c>
      <c r="H820" s="139" t="e">
        <f t="shared" si="13"/>
        <v>#REF!</v>
      </c>
    </row>
    <row r="821" spans="2:8" hidden="1" x14ac:dyDescent="0.25">
      <c r="B821" s="90" t="e">
        <f>Gradesheet!#REF!</f>
        <v>#REF!</v>
      </c>
      <c r="C821" s="91" t="e">
        <f>(Gradesheet!#REF!)</f>
        <v>#REF!</v>
      </c>
      <c r="D821" s="92" t="e">
        <f>IF(Outline!$C$14&gt;0,Gradesheet!#REF!,Gradesheet!#REF!)</f>
        <v>#REF!</v>
      </c>
      <c r="E821" s="138" t="e">
        <f>IF(Outline!$C$14&gt;0,Gradesheet!#REF!,Gradesheet!#REF!)</f>
        <v>#REF!</v>
      </c>
      <c r="F821" s="138" t="e">
        <f>IF(Outline!$C$14&gt;0,Gradesheet!#REF!,"NA")</f>
        <v>#REF!</v>
      </c>
      <c r="G821" s="138" t="e">
        <f>IF(Outline!$C$14&gt;0,Gradesheet!#REF!,Gradesheet!#REF!)</f>
        <v>#REF!</v>
      </c>
      <c r="H821" s="139" t="e">
        <f t="shared" si="13"/>
        <v>#REF!</v>
      </c>
    </row>
    <row r="822" spans="2:8" hidden="1" x14ac:dyDescent="0.25">
      <c r="B822" s="90" t="e">
        <f>Gradesheet!#REF!</f>
        <v>#REF!</v>
      </c>
      <c r="C822" s="91" t="e">
        <f>(Gradesheet!#REF!)</f>
        <v>#REF!</v>
      </c>
      <c r="D822" s="92" t="e">
        <f>IF(Outline!$C$14&gt;0,Gradesheet!#REF!,Gradesheet!#REF!)</f>
        <v>#REF!</v>
      </c>
      <c r="E822" s="138" t="e">
        <f>IF(Outline!$C$14&gt;0,Gradesheet!#REF!,Gradesheet!#REF!)</f>
        <v>#REF!</v>
      </c>
      <c r="F822" s="138" t="e">
        <f>IF(Outline!$C$14&gt;0,Gradesheet!#REF!,"NA")</f>
        <v>#REF!</v>
      </c>
      <c r="G822" s="138" t="e">
        <f>IF(Outline!$C$14&gt;0,Gradesheet!#REF!,Gradesheet!#REF!)</f>
        <v>#REF!</v>
      </c>
      <c r="H822" s="139" t="e">
        <f t="shared" si="13"/>
        <v>#REF!</v>
      </c>
    </row>
    <row r="823" spans="2:8" hidden="1" x14ac:dyDescent="0.25">
      <c r="B823" s="90" t="e">
        <f>Gradesheet!#REF!</f>
        <v>#REF!</v>
      </c>
      <c r="C823" s="91" t="e">
        <f>(Gradesheet!#REF!)</f>
        <v>#REF!</v>
      </c>
      <c r="D823" s="92" t="e">
        <f>IF(Outline!$C$14&gt;0,Gradesheet!#REF!,Gradesheet!#REF!)</f>
        <v>#REF!</v>
      </c>
      <c r="E823" s="138" t="e">
        <f>IF(Outline!$C$14&gt;0,Gradesheet!#REF!,Gradesheet!#REF!)</f>
        <v>#REF!</v>
      </c>
      <c r="F823" s="138" t="e">
        <f>IF(Outline!$C$14&gt;0,Gradesheet!#REF!,"NA")</f>
        <v>#REF!</v>
      </c>
      <c r="G823" s="138" t="e">
        <f>IF(Outline!$C$14&gt;0,Gradesheet!#REF!,Gradesheet!#REF!)</f>
        <v>#REF!</v>
      </c>
      <c r="H823" s="139" t="e">
        <f t="shared" si="13"/>
        <v>#REF!</v>
      </c>
    </row>
    <row r="824" spans="2:8" hidden="1" x14ac:dyDescent="0.25">
      <c r="B824" s="90" t="e">
        <f>Gradesheet!#REF!</f>
        <v>#REF!</v>
      </c>
      <c r="C824" s="91" t="e">
        <f>(Gradesheet!#REF!)</f>
        <v>#REF!</v>
      </c>
      <c r="D824" s="92" t="e">
        <f>IF(Outline!$C$14&gt;0,Gradesheet!#REF!,Gradesheet!#REF!)</f>
        <v>#REF!</v>
      </c>
      <c r="E824" s="138" t="e">
        <f>IF(Outline!$C$14&gt;0,Gradesheet!#REF!,Gradesheet!#REF!)</f>
        <v>#REF!</v>
      </c>
      <c r="F824" s="138" t="e">
        <f>IF(Outline!$C$14&gt;0,Gradesheet!#REF!,"NA")</f>
        <v>#REF!</v>
      </c>
      <c r="G824" s="138" t="e">
        <f>IF(Outline!$C$14&gt;0,Gradesheet!#REF!,Gradesheet!#REF!)</f>
        <v>#REF!</v>
      </c>
      <c r="H824" s="139" t="e">
        <f t="shared" si="13"/>
        <v>#REF!</v>
      </c>
    </row>
    <row r="825" spans="2:8" hidden="1" x14ac:dyDescent="0.25">
      <c r="B825" s="90" t="e">
        <f>Gradesheet!#REF!</f>
        <v>#REF!</v>
      </c>
      <c r="C825" s="91" t="e">
        <f>(Gradesheet!#REF!)</f>
        <v>#REF!</v>
      </c>
      <c r="D825" s="92" t="e">
        <f>IF(Outline!$C$14&gt;0,Gradesheet!#REF!,Gradesheet!#REF!)</f>
        <v>#REF!</v>
      </c>
      <c r="E825" s="138" t="e">
        <f>IF(Outline!$C$14&gt;0,Gradesheet!#REF!,Gradesheet!#REF!)</f>
        <v>#REF!</v>
      </c>
      <c r="F825" s="138" t="e">
        <f>IF(Outline!$C$14&gt;0,Gradesheet!#REF!,"NA")</f>
        <v>#REF!</v>
      </c>
      <c r="G825" s="138" t="e">
        <f>IF(Outline!$C$14&gt;0,Gradesheet!#REF!,Gradesheet!#REF!)</f>
        <v>#REF!</v>
      </c>
      <c r="H825" s="139" t="e">
        <f t="shared" si="13"/>
        <v>#REF!</v>
      </c>
    </row>
    <row r="826" spans="2:8" hidden="1" x14ac:dyDescent="0.25">
      <c r="B826" s="90" t="e">
        <f>Gradesheet!#REF!</f>
        <v>#REF!</v>
      </c>
      <c r="C826" s="91" t="e">
        <f>(Gradesheet!#REF!)</f>
        <v>#REF!</v>
      </c>
      <c r="D826" s="92" t="e">
        <f>IF(Outline!$C$14&gt;0,Gradesheet!#REF!,Gradesheet!#REF!)</f>
        <v>#REF!</v>
      </c>
      <c r="E826" s="138" t="e">
        <f>IF(Outline!$C$14&gt;0,Gradesheet!#REF!,Gradesheet!#REF!)</f>
        <v>#REF!</v>
      </c>
      <c r="F826" s="138" t="e">
        <f>IF(Outline!$C$14&gt;0,Gradesheet!#REF!,"NA")</f>
        <v>#REF!</v>
      </c>
      <c r="G826" s="138" t="e">
        <f>IF(Outline!$C$14&gt;0,Gradesheet!#REF!,Gradesheet!#REF!)</f>
        <v>#REF!</v>
      </c>
      <c r="H826" s="139" t="e">
        <f t="shared" si="13"/>
        <v>#REF!</v>
      </c>
    </row>
    <row r="827" spans="2:8" hidden="1" x14ac:dyDescent="0.25">
      <c r="B827" s="90" t="e">
        <f>Gradesheet!#REF!</f>
        <v>#REF!</v>
      </c>
      <c r="C827" s="91" t="e">
        <f>(Gradesheet!#REF!)</f>
        <v>#REF!</v>
      </c>
      <c r="D827" s="92" t="e">
        <f>IF(Outline!$C$14&gt;0,Gradesheet!#REF!,Gradesheet!#REF!)</f>
        <v>#REF!</v>
      </c>
      <c r="E827" s="138" t="e">
        <f>IF(Outline!$C$14&gt;0,Gradesheet!#REF!,Gradesheet!#REF!)</f>
        <v>#REF!</v>
      </c>
      <c r="F827" s="138" t="e">
        <f>IF(Outline!$C$14&gt;0,Gradesheet!#REF!,"NA")</f>
        <v>#REF!</v>
      </c>
      <c r="G827" s="138" t="e">
        <f>IF(Outline!$C$14&gt;0,Gradesheet!#REF!,Gradesheet!#REF!)</f>
        <v>#REF!</v>
      </c>
      <c r="H827" s="139" t="e">
        <f t="shared" si="13"/>
        <v>#REF!</v>
      </c>
    </row>
    <row r="828" spans="2:8" hidden="1" x14ac:dyDescent="0.25">
      <c r="B828" s="90" t="e">
        <f>Gradesheet!#REF!</f>
        <v>#REF!</v>
      </c>
      <c r="C828" s="91" t="e">
        <f>(Gradesheet!#REF!)</f>
        <v>#REF!</v>
      </c>
      <c r="D828" s="92" t="e">
        <f>IF(Outline!$C$14&gt;0,Gradesheet!#REF!,Gradesheet!#REF!)</f>
        <v>#REF!</v>
      </c>
      <c r="E828" s="138" t="e">
        <f>IF(Outline!$C$14&gt;0,Gradesheet!#REF!,Gradesheet!#REF!)</f>
        <v>#REF!</v>
      </c>
      <c r="F828" s="138" t="e">
        <f>IF(Outline!$C$14&gt;0,Gradesheet!#REF!,"NA")</f>
        <v>#REF!</v>
      </c>
      <c r="G828" s="138" t="e">
        <f>IF(Outline!$C$14&gt;0,Gradesheet!#REF!,Gradesheet!#REF!)</f>
        <v>#REF!</v>
      </c>
      <c r="H828" s="139" t="e">
        <f t="shared" si="13"/>
        <v>#REF!</v>
      </c>
    </row>
    <row r="829" spans="2:8" hidden="1" x14ac:dyDescent="0.25">
      <c r="B829" s="90" t="e">
        <f>Gradesheet!#REF!</f>
        <v>#REF!</v>
      </c>
      <c r="C829" s="91" t="e">
        <f>(Gradesheet!#REF!)</f>
        <v>#REF!</v>
      </c>
      <c r="D829" s="92" t="e">
        <f>IF(Outline!$C$14&gt;0,Gradesheet!#REF!,Gradesheet!#REF!)</f>
        <v>#REF!</v>
      </c>
      <c r="E829" s="138" t="e">
        <f>IF(Outline!$C$14&gt;0,Gradesheet!#REF!,Gradesheet!#REF!)</f>
        <v>#REF!</v>
      </c>
      <c r="F829" s="138" t="e">
        <f>IF(Outline!$C$14&gt;0,Gradesheet!#REF!,"NA")</f>
        <v>#REF!</v>
      </c>
      <c r="G829" s="138" t="e">
        <f>IF(Outline!$C$14&gt;0,Gradesheet!#REF!,Gradesheet!#REF!)</f>
        <v>#REF!</v>
      </c>
      <c r="H829" s="139" t="e">
        <f t="shared" si="13"/>
        <v>#REF!</v>
      </c>
    </row>
    <row r="830" spans="2:8" hidden="1" x14ac:dyDescent="0.25">
      <c r="B830" s="90" t="e">
        <f>Gradesheet!#REF!</f>
        <v>#REF!</v>
      </c>
      <c r="C830" s="91" t="e">
        <f>(Gradesheet!#REF!)</f>
        <v>#REF!</v>
      </c>
      <c r="D830" s="92" t="e">
        <f>IF(Outline!$C$14&gt;0,Gradesheet!#REF!,Gradesheet!#REF!)</f>
        <v>#REF!</v>
      </c>
      <c r="E830" s="138" t="e">
        <f>IF(Outline!$C$14&gt;0,Gradesheet!#REF!,Gradesheet!#REF!)</f>
        <v>#REF!</v>
      </c>
      <c r="F830" s="138" t="e">
        <f>IF(Outline!$C$14&gt;0,Gradesheet!#REF!,"NA")</f>
        <v>#REF!</v>
      </c>
      <c r="G830" s="138" t="e">
        <f>IF(Outline!$C$14&gt;0,Gradesheet!#REF!,Gradesheet!#REF!)</f>
        <v>#REF!</v>
      </c>
      <c r="H830" s="139" t="e">
        <f t="shared" si="13"/>
        <v>#REF!</v>
      </c>
    </row>
    <row r="831" spans="2:8" hidden="1" x14ac:dyDescent="0.25">
      <c r="B831" s="90" t="e">
        <f>Gradesheet!#REF!</f>
        <v>#REF!</v>
      </c>
      <c r="C831" s="91" t="e">
        <f>(Gradesheet!#REF!)</f>
        <v>#REF!</v>
      </c>
      <c r="D831" s="92" t="e">
        <f>IF(Outline!$C$14&gt;0,Gradesheet!#REF!,Gradesheet!#REF!)</f>
        <v>#REF!</v>
      </c>
      <c r="E831" s="138" t="e">
        <f>IF(Outline!$C$14&gt;0,Gradesheet!#REF!,Gradesheet!#REF!)</f>
        <v>#REF!</v>
      </c>
      <c r="F831" s="138" t="e">
        <f>IF(Outline!$C$14&gt;0,Gradesheet!#REF!,"NA")</f>
        <v>#REF!</v>
      </c>
      <c r="G831" s="138" t="e">
        <f>IF(Outline!$C$14&gt;0,Gradesheet!#REF!,Gradesheet!#REF!)</f>
        <v>#REF!</v>
      </c>
      <c r="H831" s="139" t="e">
        <f t="shared" si="13"/>
        <v>#REF!</v>
      </c>
    </row>
    <row r="832" spans="2:8" hidden="1" x14ac:dyDescent="0.25">
      <c r="B832" s="90" t="e">
        <f>Gradesheet!#REF!</f>
        <v>#REF!</v>
      </c>
      <c r="C832" s="91" t="e">
        <f>(Gradesheet!#REF!)</f>
        <v>#REF!</v>
      </c>
      <c r="D832" s="92" t="e">
        <f>IF(Outline!$C$14&gt;0,Gradesheet!#REF!,Gradesheet!#REF!)</f>
        <v>#REF!</v>
      </c>
      <c r="E832" s="138" t="e">
        <f>IF(Outline!$C$14&gt;0,Gradesheet!#REF!,Gradesheet!#REF!)</f>
        <v>#REF!</v>
      </c>
      <c r="F832" s="138" t="e">
        <f>IF(Outline!$C$14&gt;0,Gradesheet!#REF!,"NA")</f>
        <v>#REF!</v>
      </c>
      <c r="G832" s="138" t="e">
        <f>IF(Outline!$C$14&gt;0,Gradesheet!#REF!,Gradesheet!#REF!)</f>
        <v>#REF!</v>
      </c>
      <c r="H832" s="139" t="e">
        <f t="shared" si="13"/>
        <v>#REF!</v>
      </c>
    </row>
    <row r="833" spans="2:8" hidden="1" x14ac:dyDescent="0.25">
      <c r="B833" s="90" t="e">
        <f>Gradesheet!#REF!</f>
        <v>#REF!</v>
      </c>
      <c r="C833" s="91" t="e">
        <f>(Gradesheet!#REF!)</f>
        <v>#REF!</v>
      </c>
      <c r="D833" s="92" t="e">
        <f>IF(Outline!$C$14&gt;0,Gradesheet!#REF!,Gradesheet!#REF!)</f>
        <v>#REF!</v>
      </c>
      <c r="E833" s="138" t="e">
        <f>IF(Outline!$C$14&gt;0,Gradesheet!#REF!,Gradesheet!#REF!)</f>
        <v>#REF!</v>
      </c>
      <c r="F833" s="138" t="e">
        <f>IF(Outline!$C$14&gt;0,Gradesheet!#REF!,"NA")</f>
        <v>#REF!</v>
      </c>
      <c r="G833" s="138" t="e">
        <f>IF(Outline!$C$14&gt;0,Gradesheet!#REF!,Gradesheet!#REF!)</f>
        <v>#REF!</v>
      </c>
      <c r="H833" s="139" t="e">
        <f t="shared" si="13"/>
        <v>#REF!</v>
      </c>
    </row>
    <row r="834" spans="2:8" hidden="1" x14ac:dyDescent="0.25">
      <c r="B834" s="90" t="e">
        <f>Gradesheet!#REF!</f>
        <v>#REF!</v>
      </c>
      <c r="C834" s="91" t="e">
        <f>(Gradesheet!#REF!)</f>
        <v>#REF!</v>
      </c>
      <c r="D834" s="92" t="e">
        <f>IF(Outline!$C$14&gt;0,Gradesheet!#REF!,Gradesheet!#REF!)</f>
        <v>#REF!</v>
      </c>
      <c r="E834" s="138" t="e">
        <f>IF(Outline!$C$14&gt;0,Gradesheet!#REF!,Gradesheet!#REF!)</f>
        <v>#REF!</v>
      </c>
      <c r="F834" s="138" t="e">
        <f>IF(Outline!$C$14&gt;0,Gradesheet!#REF!,"NA")</f>
        <v>#REF!</v>
      </c>
      <c r="G834" s="138" t="e">
        <f>IF(Outline!$C$14&gt;0,Gradesheet!#REF!,Gradesheet!#REF!)</f>
        <v>#REF!</v>
      </c>
      <c r="H834" s="139" t="e">
        <f t="shared" si="13"/>
        <v>#REF!</v>
      </c>
    </row>
    <row r="835" spans="2:8" hidden="1" x14ac:dyDescent="0.25">
      <c r="B835" s="90" t="e">
        <f>Gradesheet!#REF!</f>
        <v>#REF!</v>
      </c>
      <c r="C835" s="91" t="e">
        <f>(Gradesheet!#REF!)</f>
        <v>#REF!</v>
      </c>
      <c r="D835" s="92" t="e">
        <f>IF(Outline!$C$14&gt;0,Gradesheet!#REF!,Gradesheet!#REF!)</f>
        <v>#REF!</v>
      </c>
      <c r="E835" s="138" t="e">
        <f>IF(Outline!$C$14&gt;0,Gradesheet!#REF!,Gradesheet!#REF!)</f>
        <v>#REF!</v>
      </c>
      <c r="F835" s="138" t="e">
        <f>IF(Outline!$C$14&gt;0,Gradesheet!#REF!,"NA")</f>
        <v>#REF!</v>
      </c>
      <c r="G835" s="138" t="e">
        <f>IF(Outline!$C$14&gt;0,Gradesheet!#REF!,Gradesheet!#REF!)</f>
        <v>#REF!</v>
      </c>
      <c r="H835" s="139" t="e">
        <f t="shared" si="13"/>
        <v>#REF!</v>
      </c>
    </row>
    <row r="836" spans="2:8" hidden="1" x14ac:dyDescent="0.25">
      <c r="B836" s="90" t="e">
        <f>Gradesheet!#REF!</f>
        <v>#REF!</v>
      </c>
      <c r="C836" s="91" t="e">
        <f>(Gradesheet!#REF!)</f>
        <v>#REF!</v>
      </c>
      <c r="D836" s="92" t="e">
        <f>IF(Outline!$C$14&gt;0,Gradesheet!#REF!,Gradesheet!#REF!)</f>
        <v>#REF!</v>
      </c>
      <c r="E836" s="138" t="e">
        <f>IF(Outline!$C$14&gt;0,Gradesheet!#REF!,Gradesheet!#REF!)</f>
        <v>#REF!</v>
      </c>
      <c r="F836" s="138" t="e">
        <f>IF(Outline!$C$14&gt;0,Gradesheet!#REF!,"NA")</f>
        <v>#REF!</v>
      </c>
      <c r="G836" s="138" t="e">
        <f>IF(Outline!$C$14&gt;0,Gradesheet!#REF!,Gradesheet!#REF!)</f>
        <v>#REF!</v>
      </c>
      <c r="H836" s="139" t="e">
        <f t="shared" si="13"/>
        <v>#REF!</v>
      </c>
    </row>
    <row r="837" spans="2:8" hidden="1" x14ac:dyDescent="0.25">
      <c r="B837" s="90" t="e">
        <f>Gradesheet!#REF!</f>
        <v>#REF!</v>
      </c>
      <c r="C837" s="91" t="e">
        <f>(Gradesheet!#REF!)</f>
        <v>#REF!</v>
      </c>
      <c r="D837" s="92" t="e">
        <f>IF(Outline!$C$14&gt;0,Gradesheet!#REF!,Gradesheet!#REF!)</f>
        <v>#REF!</v>
      </c>
      <c r="E837" s="138" t="e">
        <f>IF(Outline!$C$14&gt;0,Gradesheet!#REF!,Gradesheet!#REF!)</f>
        <v>#REF!</v>
      </c>
      <c r="F837" s="138" t="e">
        <f>IF(Outline!$C$14&gt;0,Gradesheet!#REF!,"NA")</f>
        <v>#REF!</v>
      </c>
      <c r="G837" s="138" t="e">
        <f>IF(Outline!$C$14&gt;0,Gradesheet!#REF!,Gradesheet!#REF!)</f>
        <v>#REF!</v>
      </c>
      <c r="H837" s="139" t="e">
        <f t="shared" si="13"/>
        <v>#REF!</v>
      </c>
    </row>
    <row r="838" spans="2:8" hidden="1" x14ac:dyDescent="0.25">
      <c r="B838" s="90" t="e">
        <f>Gradesheet!#REF!</f>
        <v>#REF!</v>
      </c>
      <c r="C838" s="91" t="e">
        <f>(Gradesheet!#REF!)</f>
        <v>#REF!</v>
      </c>
      <c r="D838" s="92" t="e">
        <f>IF(Outline!$C$14&gt;0,Gradesheet!#REF!,Gradesheet!#REF!)</f>
        <v>#REF!</v>
      </c>
      <c r="E838" s="138" t="e">
        <f>IF(Outline!$C$14&gt;0,Gradesheet!#REF!,Gradesheet!#REF!)</f>
        <v>#REF!</v>
      </c>
      <c r="F838" s="138" t="e">
        <f>IF(Outline!$C$14&gt;0,Gradesheet!#REF!,"NA")</f>
        <v>#REF!</v>
      </c>
      <c r="G838" s="138" t="e">
        <f>IF(Outline!$C$14&gt;0,Gradesheet!#REF!,Gradesheet!#REF!)</f>
        <v>#REF!</v>
      </c>
      <c r="H838" s="139" t="e">
        <f t="shared" si="13"/>
        <v>#REF!</v>
      </c>
    </row>
    <row r="839" spans="2:8" hidden="1" x14ac:dyDescent="0.25">
      <c r="B839" s="90" t="e">
        <f>Gradesheet!#REF!</f>
        <v>#REF!</v>
      </c>
      <c r="C839" s="91" t="e">
        <f>(Gradesheet!#REF!)</f>
        <v>#REF!</v>
      </c>
      <c r="D839" s="92" t="e">
        <f>IF(Outline!$C$14&gt;0,Gradesheet!#REF!,Gradesheet!#REF!)</f>
        <v>#REF!</v>
      </c>
      <c r="E839" s="138" t="e">
        <f>IF(Outline!$C$14&gt;0,Gradesheet!#REF!,Gradesheet!#REF!)</f>
        <v>#REF!</v>
      </c>
      <c r="F839" s="138" t="e">
        <f>IF(Outline!$C$14&gt;0,Gradesheet!#REF!,"NA")</f>
        <v>#REF!</v>
      </c>
      <c r="G839" s="138" t="e">
        <f>IF(Outline!$C$14&gt;0,Gradesheet!#REF!,Gradesheet!#REF!)</f>
        <v>#REF!</v>
      </c>
      <c r="H839" s="139" t="e">
        <f t="shared" ref="H839:H902" si="14">SUM(D839:G839)</f>
        <v>#REF!</v>
      </c>
    </row>
    <row r="840" spans="2:8" hidden="1" x14ac:dyDescent="0.25">
      <c r="B840" s="90" t="e">
        <f>Gradesheet!#REF!</f>
        <v>#REF!</v>
      </c>
      <c r="C840" s="91" t="e">
        <f>(Gradesheet!#REF!)</f>
        <v>#REF!</v>
      </c>
      <c r="D840" s="92" t="e">
        <f>IF(Outline!$C$14&gt;0,Gradesheet!#REF!,Gradesheet!#REF!)</f>
        <v>#REF!</v>
      </c>
      <c r="E840" s="138" t="e">
        <f>IF(Outline!$C$14&gt;0,Gradesheet!#REF!,Gradesheet!#REF!)</f>
        <v>#REF!</v>
      </c>
      <c r="F840" s="138" t="e">
        <f>IF(Outline!$C$14&gt;0,Gradesheet!#REF!,"NA")</f>
        <v>#REF!</v>
      </c>
      <c r="G840" s="138" t="e">
        <f>IF(Outline!$C$14&gt;0,Gradesheet!#REF!,Gradesheet!#REF!)</f>
        <v>#REF!</v>
      </c>
      <c r="H840" s="139" t="e">
        <f t="shared" si="14"/>
        <v>#REF!</v>
      </c>
    </row>
    <row r="841" spans="2:8" hidden="1" x14ac:dyDescent="0.25">
      <c r="B841" s="90" t="e">
        <f>Gradesheet!#REF!</f>
        <v>#REF!</v>
      </c>
      <c r="C841" s="91" t="e">
        <f>(Gradesheet!#REF!)</f>
        <v>#REF!</v>
      </c>
      <c r="D841" s="92" t="e">
        <f>IF(Outline!$C$14&gt;0,Gradesheet!#REF!,Gradesheet!#REF!)</f>
        <v>#REF!</v>
      </c>
      <c r="E841" s="138" t="e">
        <f>IF(Outline!$C$14&gt;0,Gradesheet!#REF!,Gradesheet!#REF!)</f>
        <v>#REF!</v>
      </c>
      <c r="F841" s="138" t="e">
        <f>IF(Outline!$C$14&gt;0,Gradesheet!#REF!,"NA")</f>
        <v>#REF!</v>
      </c>
      <c r="G841" s="138" t="e">
        <f>IF(Outline!$C$14&gt;0,Gradesheet!#REF!,Gradesheet!#REF!)</f>
        <v>#REF!</v>
      </c>
      <c r="H841" s="139" t="e">
        <f t="shared" si="14"/>
        <v>#REF!</v>
      </c>
    </row>
    <row r="842" spans="2:8" hidden="1" x14ac:dyDescent="0.25">
      <c r="B842" s="90" t="e">
        <f>Gradesheet!#REF!</f>
        <v>#REF!</v>
      </c>
      <c r="C842" s="91" t="e">
        <f>(Gradesheet!#REF!)</f>
        <v>#REF!</v>
      </c>
      <c r="D842" s="92" t="e">
        <f>IF(Outline!$C$14&gt;0,Gradesheet!#REF!,Gradesheet!#REF!)</f>
        <v>#REF!</v>
      </c>
      <c r="E842" s="138" t="e">
        <f>IF(Outline!$C$14&gt;0,Gradesheet!#REF!,Gradesheet!#REF!)</f>
        <v>#REF!</v>
      </c>
      <c r="F842" s="138" t="e">
        <f>IF(Outline!$C$14&gt;0,Gradesheet!#REF!,"NA")</f>
        <v>#REF!</v>
      </c>
      <c r="G842" s="138" t="e">
        <f>IF(Outline!$C$14&gt;0,Gradesheet!#REF!,Gradesheet!#REF!)</f>
        <v>#REF!</v>
      </c>
      <c r="H842" s="139" t="e">
        <f t="shared" si="14"/>
        <v>#REF!</v>
      </c>
    </row>
    <row r="843" spans="2:8" hidden="1" x14ac:dyDescent="0.25">
      <c r="B843" s="90" t="e">
        <f>Gradesheet!#REF!</f>
        <v>#REF!</v>
      </c>
      <c r="C843" s="91" t="e">
        <f>(Gradesheet!#REF!)</f>
        <v>#REF!</v>
      </c>
      <c r="D843" s="92" t="e">
        <f>IF(Outline!$C$14&gt;0,Gradesheet!#REF!,Gradesheet!#REF!)</f>
        <v>#REF!</v>
      </c>
      <c r="E843" s="138" t="e">
        <f>IF(Outline!$C$14&gt;0,Gradesheet!#REF!,Gradesheet!#REF!)</f>
        <v>#REF!</v>
      </c>
      <c r="F843" s="138" t="e">
        <f>IF(Outline!$C$14&gt;0,Gradesheet!#REF!,"NA")</f>
        <v>#REF!</v>
      </c>
      <c r="G843" s="138" t="e">
        <f>IF(Outline!$C$14&gt;0,Gradesheet!#REF!,Gradesheet!#REF!)</f>
        <v>#REF!</v>
      </c>
      <c r="H843" s="139" t="e">
        <f t="shared" si="14"/>
        <v>#REF!</v>
      </c>
    </row>
    <row r="844" spans="2:8" hidden="1" x14ac:dyDescent="0.25">
      <c r="B844" s="90" t="e">
        <f>Gradesheet!#REF!</f>
        <v>#REF!</v>
      </c>
      <c r="C844" s="91" t="e">
        <f>(Gradesheet!#REF!)</f>
        <v>#REF!</v>
      </c>
      <c r="D844" s="92" t="e">
        <f>IF(Outline!$C$14&gt;0,Gradesheet!#REF!,Gradesheet!#REF!)</f>
        <v>#REF!</v>
      </c>
      <c r="E844" s="138" t="e">
        <f>IF(Outline!$C$14&gt;0,Gradesheet!#REF!,Gradesheet!#REF!)</f>
        <v>#REF!</v>
      </c>
      <c r="F844" s="138" t="e">
        <f>IF(Outline!$C$14&gt;0,Gradesheet!#REF!,"NA")</f>
        <v>#REF!</v>
      </c>
      <c r="G844" s="138" t="e">
        <f>IF(Outline!$C$14&gt;0,Gradesheet!#REF!,Gradesheet!#REF!)</f>
        <v>#REF!</v>
      </c>
      <c r="H844" s="139" t="e">
        <f t="shared" si="14"/>
        <v>#REF!</v>
      </c>
    </row>
    <row r="845" spans="2:8" hidden="1" x14ac:dyDescent="0.25">
      <c r="B845" s="90" t="e">
        <f>Gradesheet!#REF!</f>
        <v>#REF!</v>
      </c>
      <c r="C845" s="91" t="e">
        <f>(Gradesheet!#REF!)</f>
        <v>#REF!</v>
      </c>
      <c r="D845" s="92" t="e">
        <f>IF(Outline!$C$14&gt;0,Gradesheet!#REF!,Gradesheet!#REF!)</f>
        <v>#REF!</v>
      </c>
      <c r="E845" s="138" t="e">
        <f>IF(Outline!$C$14&gt;0,Gradesheet!#REF!,Gradesheet!#REF!)</f>
        <v>#REF!</v>
      </c>
      <c r="F845" s="138" t="e">
        <f>IF(Outline!$C$14&gt;0,Gradesheet!#REF!,"NA")</f>
        <v>#REF!</v>
      </c>
      <c r="G845" s="138" t="e">
        <f>IF(Outline!$C$14&gt;0,Gradesheet!#REF!,Gradesheet!#REF!)</f>
        <v>#REF!</v>
      </c>
      <c r="H845" s="139" t="e">
        <f t="shared" si="14"/>
        <v>#REF!</v>
      </c>
    </row>
    <row r="846" spans="2:8" hidden="1" x14ac:dyDescent="0.25">
      <c r="B846" s="90" t="e">
        <f>Gradesheet!#REF!</f>
        <v>#REF!</v>
      </c>
      <c r="C846" s="91" t="e">
        <f>(Gradesheet!#REF!)</f>
        <v>#REF!</v>
      </c>
      <c r="D846" s="92" t="e">
        <f>IF(Outline!$C$14&gt;0,Gradesheet!#REF!,Gradesheet!#REF!)</f>
        <v>#REF!</v>
      </c>
      <c r="E846" s="138" t="e">
        <f>IF(Outline!$C$14&gt;0,Gradesheet!#REF!,Gradesheet!#REF!)</f>
        <v>#REF!</v>
      </c>
      <c r="F846" s="138" t="e">
        <f>IF(Outline!$C$14&gt;0,Gradesheet!#REF!,"NA")</f>
        <v>#REF!</v>
      </c>
      <c r="G846" s="138" t="e">
        <f>IF(Outline!$C$14&gt;0,Gradesheet!#REF!,Gradesheet!#REF!)</f>
        <v>#REF!</v>
      </c>
      <c r="H846" s="139" t="e">
        <f t="shared" si="14"/>
        <v>#REF!</v>
      </c>
    </row>
    <row r="847" spans="2:8" hidden="1" x14ac:dyDescent="0.25">
      <c r="B847" s="90" t="e">
        <f>Gradesheet!#REF!</f>
        <v>#REF!</v>
      </c>
      <c r="C847" s="91" t="e">
        <f>(Gradesheet!#REF!)</f>
        <v>#REF!</v>
      </c>
      <c r="D847" s="92" t="e">
        <f>IF(Outline!$C$14&gt;0,Gradesheet!#REF!,Gradesheet!#REF!)</f>
        <v>#REF!</v>
      </c>
      <c r="E847" s="138" t="e">
        <f>IF(Outline!$C$14&gt;0,Gradesheet!#REF!,Gradesheet!#REF!)</f>
        <v>#REF!</v>
      </c>
      <c r="F847" s="138" t="e">
        <f>IF(Outline!$C$14&gt;0,Gradesheet!#REF!,"NA")</f>
        <v>#REF!</v>
      </c>
      <c r="G847" s="138" t="e">
        <f>IF(Outline!$C$14&gt;0,Gradesheet!#REF!,Gradesheet!#REF!)</f>
        <v>#REF!</v>
      </c>
      <c r="H847" s="139" t="e">
        <f t="shared" si="14"/>
        <v>#REF!</v>
      </c>
    </row>
    <row r="848" spans="2:8" hidden="1" x14ac:dyDescent="0.25">
      <c r="B848" s="90" t="e">
        <f>Gradesheet!#REF!</f>
        <v>#REF!</v>
      </c>
      <c r="C848" s="91" t="e">
        <f>(Gradesheet!#REF!)</f>
        <v>#REF!</v>
      </c>
      <c r="D848" s="92" t="e">
        <f>IF(Outline!$C$14&gt;0,Gradesheet!#REF!,Gradesheet!#REF!)</f>
        <v>#REF!</v>
      </c>
      <c r="E848" s="138" t="e">
        <f>IF(Outline!$C$14&gt;0,Gradesheet!#REF!,Gradesheet!#REF!)</f>
        <v>#REF!</v>
      </c>
      <c r="F848" s="138" t="e">
        <f>IF(Outline!$C$14&gt;0,Gradesheet!#REF!,"NA")</f>
        <v>#REF!</v>
      </c>
      <c r="G848" s="138" t="e">
        <f>IF(Outline!$C$14&gt;0,Gradesheet!#REF!,Gradesheet!#REF!)</f>
        <v>#REF!</v>
      </c>
      <c r="H848" s="139" t="e">
        <f t="shared" si="14"/>
        <v>#REF!</v>
      </c>
    </row>
    <row r="849" spans="2:8" hidden="1" x14ac:dyDescent="0.25">
      <c r="B849" s="90" t="e">
        <f>Gradesheet!#REF!</f>
        <v>#REF!</v>
      </c>
      <c r="C849" s="91" t="e">
        <f>(Gradesheet!#REF!)</f>
        <v>#REF!</v>
      </c>
      <c r="D849" s="92" t="e">
        <f>IF(Outline!$C$14&gt;0,Gradesheet!#REF!,Gradesheet!#REF!)</f>
        <v>#REF!</v>
      </c>
      <c r="E849" s="138" t="e">
        <f>IF(Outline!$C$14&gt;0,Gradesheet!#REF!,Gradesheet!#REF!)</f>
        <v>#REF!</v>
      </c>
      <c r="F849" s="138" t="e">
        <f>IF(Outline!$C$14&gt;0,Gradesheet!#REF!,"NA")</f>
        <v>#REF!</v>
      </c>
      <c r="G849" s="138" t="e">
        <f>IF(Outline!$C$14&gt;0,Gradesheet!#REF!,Gradesheet!#REF!)</f>
        <v>#REF!</v>
      </c>
      <c r="H849" s="139" t="e">
        <f t="shared" si="14"/>
        <v>#REF!</v>
      </c>
    </row>
    <row r="850" spans="2:8" hidden="1" x14ac:dyDescent="0.25">
      <c r="B850" s="90" t="e">
        <f>Gradesheet!#REF!</f>
        <v>#REF!</v>
      </c>
      <c r="C850" s="91" t="e">
        <f>(Gradesheet!#REF!)</f>
        <v>#REF!</v>
      </c>
      <c r="D850" s="92" t="e">
        <f>IF(Outline!$C$14&gt;0,Gradesheet!#REF!,Gradesheet!#REF!)</f>
        <v>#REF!</v>
      </c>
      <c r="E850" s="138" t="e">
        <f>IF(Outline!$C$14&gt;0,Gradesheet!#REF!,Gradesheet!#REF!)</f>
        <v>#REF!</v>
      </c>
      <c r="F850" s="138" t="e">
        <f>IF(Outline!$C$14&gt;0,Gradesheet!#REF!,"NA")</f>
        <v>#REF!</v>
      </c>
      <c r="G850" s="138" t="e">
        <f>IF(Outline!$C$14&gt;0,Gradesheet!#REF!,Gradesheet!#REF!)</f>
        <v>#REF!</v>
      </c>
      <c r="H850" s="139" t="e">
        <f t="shared" si="14"/>
        <v>#REF!</v>
      </c>
    </row>
    <row r="851" spans="2:8" hidden="1" x14ac:dyDescent="0.25">
      <c r="B851" s="90" t="e">
        <f>Gradesheet!#REF!</f>
        <v>#REF!</v>
      </c>
      <c r="C851" s="91" t="e">
        <f>(Gradesheet!#REF!)</f>
        <v>#REF!</v>
      </c>
      <c r="D851" s="92" t="e">
        <f>IF(Outline!$C$14&gt;0,Gradesheet!#REF!,Gradesheet!#REF!)</f>
        <v>#REF!</v>
      </c>
      <c r="E851" s="138" t="e">
        <f>IF(Outline!$C$14&gt;0,Gradesheet!#REF!,Gradesheet!#REF!)</f>
        <v>#REF!</v>
      </c>
      <c r="F851" s="138" t="e">
        <f>IF(Outline!$C$14&gt;0,Gradesheet!#REF!,"NA")</f>
        <v>#REF!</v>
      </c>
      <c r="G851" s="138" t="e">
        <f>IF(Outline!$C$14&gt;0,Gradesheet!#REF!,Gradesheet!#REF!)</f>
        <v>#REF!</v>
      </c>
      <c r="H851" s="139" t="e">
        <f t="shared" si="14"/>
        <v>#REF!</v>
      </c>
    </row>
    <row r="852" spans="2:8" hidden="1" x14ac:dyDescent="0.25">
      <c r="B852" s="90" t="e">
        <f>Gradesheet!#REF!</f>
        <v>#REF!</v>
      </c>
      <c r="C852" s="91" t="e">
        <f>(Gradesheet!#REF!)</f>
        <v>#REF!</v>
      </c>
      <c r="D852" s="92" t="e">
        <f>IF(Outline!$C$14&gt;0,Gradesheet!#REF!,Gradesheet!#REF!)</f>
        <v>#REF!</v>
      </c>
      <c r="E852" s="138" t="e">
        <f>IF(Outline!$C$14&gt;0,Gradesheet!#REF!,Gradesheet!#REF!)</f>
        <v>#REF!</v>
      </c>
      <c r="F852" s="138" t="e">
        <f>IF(Outline!$C$14&gt;0,Gradesheet!#REF!,"NA")</f>
        <v>#REF!</v>
      </c>
      <c r="G852" s="138" t="e">
        <f>IF(Outline!$C$14&gt;0,Gradesheet!#REF!,Gradesheet!#REF!)</f>
        <v>#REF!</v>
      </c>
      <c r="H852" s="139" t="e">
        <f t="shared" si="14"/>
        <v>#REF!</v>
      </c>
    </row>
    <row r="853" spans="2:8" hidden="1" x14ac:dyDescent="0.25">
      <c r="B853" s="90" t="e">
        <f>Gradesheet!#REF!</f>
        <v>#REF!</v>
      </c>
      <c r="C853" s="91" t="e">
        <f>(Gradesheet!#REF!)</f>
        <v>#REF!</v>
      </c>
      <c r="D853" s="92" t="e">
        <f>IF(Outline!$C$14&gt;0,Gradesheet!#REF!,Gradesheet!#REF!)</f>
        <v>#REF!</v>
      </c>
      <c r="E853" s="138" t="e">
        <f>IF(Outline!$C$14&gt;0,Gradesheet!#REF!,Gradesheet!#REF!)</f>
        <v>#REF!</v>
      </c>
      <c r="F853" s="138" t="e">
        <f>IF(Outline!$C$14&gt;0,Gradesheet!#REF!,"NA")</f>
        <v>#REF!</v>
      </c>
      <c r="G853" s="138" t="e">
        <f>IF(Outline!$C$14&gt;0,Gradesheet!#REF!,Gradesheet!#REF!)</f>
        <v>#REF!</v>
      </c>
      <c r="H853" s="139" t="e">
        <f t="shared" si="14"/>
        <v>#REF!</v>
      </c>
    </row>
    <row r="854" spans="2:8" hidden="1" x14ac:dyDescent="0.25">
      <c r="B854" s="90" t="e">
        <f>Gradesheet!#REF!</f>
        <v>#REF!</v>
      </c>
      <c r="C854" s="91" t="e">
        <f>(Gradesheet!#REF!)</f>
        <v>#REF!</v>
      </c>
      <c r="D854" s="92" t="e">
        <f>IF(Outline!$C$14&gt;0,Gradesheet!#REF!,Gradesheet!#REF!)</f>
        <v>#REF!</v>
      </c>
      <c r="E854" s="138" t="e">
        <f>IF(Outline!$C$14&gt;0,Gradesheet!#REF!,Gradesheet!#REF!)</f>
        <v>#REF!</v>
      </c>
      <c r="F854" s="138" t="e">
        <f>IF(Outline!$C$14&gt;0,Gradesheet!#REF!,"NA")</f>
        <v>#REF!</v>
      </c>
      <c r="G854" s="138" t="e">
        <f>IF(Outline!$C$14&gt;0,Gradesheet!#REF!,Gradesheet!#REF!)</f>
        <v>#REF!</v>
      </c>
      <c r="H854" s="139" t="e">
        <f t="shared" si="14"/>
        <v>#REF!</v>
      </c>
    </row>
    <row r="855" spans="2:8" hidden="1" x14ac:dyDescent="0.25">
      <c r="B855" s="90" t="e">
        <f>Gradesheet!#REF!</f>
        <v>#REF!</v>
      </c>
      <c r="C855" s="91" t="e">
        <f>(Gradesheet!#REF!)</f>
        <v>#REF!</v>
      </c>
      <c r="D855" s="92" t="e">
        <f>IF(Outline!$C$14&gt;0,Gradesheet!#REF!,Gradesheet!#REF!)</f>
        <v>#REF!</v>
      </c>
      <c r="E855" s="138" t="e">
        <f>IF(Outline!$C$14&gt;0,Gradesheet!#REF!,Gradesheet!#REF!)</f>
        <v>#REF!</v>
      </c>
      <c r="F855" s="138" t="e">
        <f>IF(Outline!$C$14&gt;0,Gradesheet!#REF!,"NA")</f>
        <v>#REF!</v>
      </c>
      <c r="G855" s="138" t="e">
        <f>IF(Outline!$C$14&gt;0,Gradesheet!#REF!,Gradesheet!#REF!)</f>
        <v>#REF!</v>
      </c>
      <c r="H855" s="139" t="e">
        <f t="shared" si="14"/>
        <v>#REF!</v>
      </c>
    </row>
    <row r="856" spans="2:8" hidden="1" x14ac:dyDescent="0.25">
      <c r="B856" s="90" t="e">
        <f>Gradesheet!#REF!</f>
        <v>#REF!</v>
      </c>
      <c r="C856" s="91" t="e">
        <f>(Gradesheet!#REF!)</f>
        <v>#REF!</v>
      </c>
      <c r="D856" s="92" t="e">
        <f>IF(Outline!$C$14&gt;0,Gradesheet!#REF!,Gradesheet!#REF!)</f>
        <v>#REF!</v>
      </c>
      <c r="E856" s="138" t="e">
        <f>IF(Outline!$C$14&gt;0,Gradesheet!#REF!,Gradesheet!#REF!)</f>
        <v>#REF!</v>
      </c>
      <c r="F856" s="138" t="e">
        <f>IF(Outline!$C$14&gt;0,Gradesheet!#REF!,"NA")</f>
        <v>#REF!</v>
      </c>
      <c r="G856" s="138" t="e">
        <f>IF(Outline!$C$14&gt;0,Gradesheet!#REF!,Gradesheet!#REF!)</f>
        <v>#REF!</v>
      </c>
      <c r="H856" s="139" t="e">
        <f t="shared" si="14"/>
        <v>#REF!</v>
      </c>
    </row>
    <row r="857" spans="2:8" hidden="1" x14ac:dyDescent="0.25">
      <c r="B857" s="90" t="e">
        <f>Gradesheet!#REF!</f>
        <v>#REF!</v>
      </c>
      <c r="C857" s="91" t="e">
        <f>(Gradesheet!#REF!)</f>
        <v>#REF!</v>
      </c>
      <c r="D857" s="92" t="e">
        <f>IF(Outline!$C$14&gt;0,Gradesheet!#REF!,Gradesheet!#REF!)</f>
        <v>#REF!</v>
      </c>
      <c r="E857" s="138" t="e">
        <f>IF(Outline!$C$14&gt;0,Gradesheet!#REF!,Gradesheet!#REF!)</f>
        <v>#REF!</v>
      </c>
      <c r="F857" s="138" t="e">
        <f>IF(Outline!$C$14&gt;0,Gradesheet!#REF!,"NA")</f>
        <v>#REF!</v>
      </c>
      <c r="G857" s="138" t="e">
        <f>IF(Outline!$C$14&gt;0,Gradesheet!#REF!,Gradesheet!#REF!)</f>
        <v>#REF!</v>
      </c>
      <c r="H857" s="139" t="e">
        <f t="shared" si="14"/>
        <v>#REF!</v>
      </c>
    </row>
    <row r="858" spans="2:8" hidden="1" x14ac:dyDescent="0.25">
      <c r="B858" s="90" t="e">
        <f>Gradesheet!#REF!</f>
        <v>#REF!</v>
      </c>
      <c r="C858" s="91" t="e">
        <f>(Gradesheet!#REF!)</f>
        <v>#REF!</v>
      </c>
      <c r="D858" s="92" t="e">
        <f>IF(Outline!$C$14&gt;0,Gradesheet!#REF!,Gradesheet!#REF!)</f>
        <v>#REF!</v>
      </c>
      <c r="E858" s="138" t="e">
        <f>IF(Outline!$C$14&gt;0,Gradesheet!#REF!,Gradesheet!#REF!)</f>
        <v>#REF!</v>
      </c>
      <c r="F858" s="138" t="e">
        <f>IF(Outline!$C$14&gt;0,Gradesheet!#REF!,"NA")</f>
        <v>#REF!</v>
      </c>
      <c r="G858" s="138" t="e">
        <f>IF(Outline!$C$14&gt;0,Gradesheet!#REF!,Gradesheet!#REF!)</f>
        <v>#REF!</v>
      </c>
      <c r="H858" s="139" t="e">
        <f t="shared" si="14"/>
        <v>#REF!</v>
      </c>
    </row>
    <row r="859" spans="2:8" hidden="1" x14ac:dyDescent="0.25">
      <c r="B859" s="90" t="e">
        <f>Gradesheet!#REF!</f>
        <v>#REF!</v>
      </c>
      <c r="C859" s="91" t="e">
        <f>(Gradesheet!#REF!)</f>
        <v>#REF!</v>
      </c>
      <c r="D859" s="92" t="e">
        <f>IF(Outline!$C$14&gt;0,Gradesheet!#REF!,Gradesheet!#REF!)</f>
        <v>#REF!</v>
      </c>
      <c r="E859" s="138" t="e">
        <f>IF(Outline!$C$14&gt;0,Gradesheet!#REF!,Gradesheet!#REF!)</f>
        <v>#REF!</v>
      </c>
      <c r="F859" s="138" t="e">
        <f>IF(Outline!$C$14&gt;0,Gradesheet!#REF!,"NA")</f>
        <v>#REF!</v>
      </c>
      <c r="G859" s="138" t="e">
        <f>IF(Outline!$C$14&gt;0,Gradesheet!#REF!,Gradesheet!#REF!)</f>
        <v>#REF!</v>
      </c>
      <c r="H859" s="139" t="e">
        <f t="shared" si="14"/>
        <v>#REF!</v>
      </c>
    </row>
    <row r="860" spans="2:8" hidden="1" x14ac:dyDescent="0.25">
      <c r="B860" s="90" t="e">
        <f>Gradesheet!#REF!</f>
        <v>#REF!</v>
      </c>
      <c r="C860" s="91" t="e">
        <f>(Gradesheet!#REF!)</f>
        <v>#REF!</v>
      </c>
      <c r="D860" s="92" t="e">
        <f>IF(Outline!$C$14&gt;0,Gradesheet!#REF!,Gradesheet!#REF!)</f>
        <v>#REF!</v>
      </c>
      <c r="E860" s="138" t="e">
        <f>IF(Outline!$C$14&gt;0,Gradesheet!#REF!,Gradesheet!#REF!)</f>
        <v>#REF!</v>
      </c>
      <c r="F860" s="138" t="e">
        <f>IF(Outline!$C$14&gt;0,Gradesheet!#REF!,"NA")</f>
        <v>#REF!</v>
      </c>
      <c r="G860" s="138" t="e">
        <f>IF(Outline!$C$14&gt;0,Gradesheet!#REF!,Gradesheet!#REF!)</f>
        <v>#REF!</v>
      </c>
      <c r="H860" s="139" t="e">
        <f t="shared" si="14"/>
        <v>#REF!</v>
      </c>
    </row>
    <row r="861" spans="2:8" hidden="1" x14ac:dyDescent="0.25">
      <c r="B861" s="90" t="e">
        <f>Gradesheet!#REF!</f>
        <v>#REF!</v>
      </c>
      <c r="C861" s="91" t="e">
        <f>(Gradesheet!#REF!)</f>
        <v>#REF!</v>
      </c>
      <c r="D861" s="92" t="e">
        <f>IF(Outline!$C$14&gt;0,Gradesheet!#REF!,Gradesheet!#REF!)</f>
        <v>#REF!</v>
      </c>
      <c r="E861" s="138" t="e">
        <f>IF(Outline!$C$14&gt;0,Gradesheet!#REF!,Gradesheet!#REF!)</f>
        <v>#REF!</v>
      </c>
      <c r="F861" s="138" t="e">
        <f>IF(Outline!$C$14&gt;0,Gradesheet!#REF!,"NA")</f>
        <v>#REF!</v>
      </c>
      <c r="G861" s="138" t="e">
        <f>IF(Outline!$C$14&gt;0,Gradesheet!#REF!,Gradesheet!#REF!)</f>
        <v>#REF!</v>
      </c>
      <c r="H861" s="139" t="e">
        <f t="shared" si="14"/>
        <v>#REF!</v>
      </c>
    </row>
    <row r="862" spans="2:8" hidden="1" x14ac:dyDescent="0.25">
      <c r="B862" s="90" t="e">
        <f>Gradesheet!#REF!</f>
        <v>#REF!</v>
      </c>
      <c r="C862" s="91" t="e">
        <f>(Gradesheet!#REF!)</f>
        <v>#REF!</v>
      </c>
      <c r="D862" s="92" t="e">
        <f>IF(Outline!$C$14&gt;0,Gradesheet!#REF!,Gradesheet!#REF!)</f>
        <v>#REF!</v>
      </c>
      <c r="E862" s="138" t="e">
        <f>IF(Outline!$C$14&gt;0,Gradesheet!#REF!,Gradesheet!#REF!)</f>
        <v>#REF!</v>
      </c>
      <c r="F862" s="138" t="e">
        <f>IF(Outline!$C$14&gt;0,Gradesheet!#REF!,"NA")</f>
        <v>#REF!</v>
      </c>
      <c r="G862" s="138" t="e">
        <f>IF(Outline!$C$14&gt;0,Gradesheet!#REF!,Gradesheet!#REF!)</f>
        <v>#REF!</v>
      </c>
      <c r="H862" s="139" t="e">
        <f t="shared" si="14"/>
        <v>#REF!</v>
      </c>
    </row>
    <row r="863" spans="2:8" hidden="1" x14ac:dyDescent="0.25">
      <c r="B863" s="90" t="e">
        <f>Gradesheet!#REF!</f>
        <v>#REF!</v>
      </c>
      <c r="C863" s="91" t="e">
        <f>(Gradesheet!#REF!)</f>
        <v>#REF!</v>
      </c>
      <c r="D863" s="92" t="e">
        <f>IF(Outline!$C$14&gt;0,Gradesheet!#REF!,Gradesheet!#REF!)</f>
        <v>#REF!</v>
      </c>
      <c r="E863" s="138" t="e">
        <f>IF(Outline!$C$14&gt;0,Gradesheet!#REF!,Gradesheet!#REF!)</f>
        <v>#REF!</v>
      </c>
      <c r="F863" s="138" t="e">
        <f>IF(Outline!$C$14&gt;0,Gradesheet!#REF!,"NA")</f>
        <v>#REF!</v>
      </c>
      <c r="G863" s="138" t="e">
        <f>IF(Outline!$C$14&gt;0,Gradesheet!#REF!,Gradesheet!#REF!)</f>
        <v>#REF!</v>
      </c>
      <c r="H863" s="139" t="e">
        <f t="shared" si="14"/>
        <v>#REF!</v>
      </c>
    </row>
    <row r="864" spans="2:8" hidden="1" x14ac:dyDescent="0.25">
      <c r="B864" s="90" t="e">
        <f>Gradesheet!#REF!</f>
        <v>#REF!</v>
      </c>
      <c r="C864" s="91" t="e">
        <f>(Gradesheet!#REF!)</f>
        <v>#REF!</v>
      </c>
      <c r="D864" s="92" t="e">
        <f>IF(Outline!$C$14&gt;0,Gradesheet!#REF!,Gradesheet!#REF!)</f>
        <v>#REF!</v>
      </c>
      <c r="E864" s="138" t="e">
        <f>IF(Outline!$C$14&gt;0,Gradesheet!#REF!,Gradesheet!#REF!)</f>
        <v>#REF!</v>
      </c>
      <c r="F864" s="138" t="e">
        <f>IF(Outline!$C$14&gt;0,Gradesheet!#REF!,"NA")</f>
        <v>#REF!</v>
      </c>
      <c r="G864" s="138" t="e">
        <f>IF(Outline!$C$14&gt;0,Gradesheet!#REF!,Gradesheet!#REF!)</f>
        <v>#REF!</v>
      </c>
      <c r="H864" s="139" t="e">
        <f t="shared" si="14"/>
        <v>#REF!</v>
      </c>
    </row>
    <row r="865" spans="2:8" hidden="1" x14ac:dyDescent="0.25">
      <c r="B865" s="90" t="e">
        <f>Gradesheet!#REF!</f>
        <v>#REF!</v>
      </c>
      <c r="C865" s="91" t="e">
        <f>(Gradesheet!#REF!)</f>
        <v>#REF!</v>
      </c>
      <c r="D865" s="92" t="e">
        <f>IF(Outline!$C$14&gt;0,Gradesheet!#REF!,Gradesheet!#REF!)</f>
        <v>#REF!</v>
      </c>
      <c r="E865" s="138" t="e">
        <f>IF(Outline!$C$14&gt;0,Gradesheet!#REF!,Gradesheet!#REF!)</f>
        <v>#REF!</v>
      </c>
      <c r="F865" s="138" t="e">
        <f>IF(Outline!$C$14&gt;0,Gradesheet!#REF!,"NA")</f>
        <v>#REF!</v>
      </c>
      <c r="G865" s="138" t="e">
        <f>IF(Outline!$C$14&gt;0,Gradesheet!#REF!,Gradesheet!#REF!)</f>
        <v>#REF!</v>
      </c>
      <c r="H865" s="139" t="e">
        <f t="shared" si="14"/>
        <v>#REF!</v>
      </c>
    </row>
    <row r="866" spans="2:8" hidden="1" x14ac:dyDescent="0.25">
      <c r="B866" s="90" t="e">
        <f>Gradesheet!#REF!</f>
        <v>#REF!</v>
      </c>
      <c r="C866" s="91" t="e">
        <f>(Gradesheet!#REF!)</f>
        <v>#REF!</v>
      </c>
      <c r="D866" s="92" t="e">
        <f>IF(Outline!$C$14&gt;0,Gradesheet!#REF!,Gradesheet!#REF!)</f>
        <v>#REF!</v>
      </c>
      <c r="E866" s="138" t="e">
        <f>IF(Outline!$C$14&gt;0,Gradesheet!#REF!,Gradesheet!#REF!)</f>
        <v>#REF!</v>
      </c>
      <c r="F866" s="138" t="e">
        <f>IF(Outline!$C$14&gt;0,Gradesheet!#REF!,"NA")</f>
        <v>#REF!</v>
      </c>
      <c r="G866" s="138" t="e">
        <f>IF(Outline!$C$14&gt;0,Gradesheet!#REF!,Gradesheet!#REF!)</f>
        <v>#REF!</v>
      </c>
      <c r="H866" s="139" t="e">
        <f t="shared" si="14"/>
        <v>#REF!</v>
      </c>
    </row>
    <row r="867" spans="2:8" hidden="1" x14ac:dyDescent="0.25">
      <c r="B867" s="90" t="e">
        <f>Gradesheet!#REF!</f>
        <v>#REF!</v>
      </c>
      <c r="C867" s="91" t="e">
        <f>(Gradesheet!#REF!)</f>
        <v>#REF!</v>
      </c>
      <c r="D867" s="92" t="e">
        <f>IF(Outline!$C$14&gt;0,Gradesheet!#REF!,Gradesheet!#REF!)</f>
        <v>#REF!</v>
      </c>
      <c r="E867" s="138" t="e">
        <f>IF(Outline!$C$14&gt;0,Gradesheet!#REF!,Gradesheet!#REF!)</f>
        <v>#REF!</v>
      </c>
      <c r="F867" s="138" t="e">
        <f>IF(Outline!$C$14&gt;0,Gradesheet!#REF!,"NA")</f>
        <v>#REF!</v>
      </c>
      <c r="G867" s="138" t="e">
        <f>IF(Outline!$C$14&gt;0,Gradesheet!#REF!,Gradesheet!#REF!)</f>
        <v>#REF!</v>
      </c>
      <c r="H867" s="139" t="e">
        <f t="shared" si="14"/>
        <v>#REF!</v>
      </c>
    </row>
    <row r="868" spans="2:8" hidden="1" x14ac:dyDescent="0.25">
      <c r="B868" s="90" t="e">
        <f>Gradesheet!#REF!</f>
        <v>#REF!</v>
      </c>
      <c r="C868" s="91" t="e">
        <f>(Gradesheet!#REF!)</f>
        <v>#REF!</v>
      </c>
      <c r="D868" s="92" t="e">
        <f>IF(Outline!$C$14&gt;0,Gradesheet!#REF!,Gradesheet!#REF!)</f>
        <v>#REF!</v>
      </c>
      <c r="E868" s="138" t="e">
        <f>IF(Outline!$C$14&gt;0,Gradesheet!#REF!,Gradesheet!#REF!)</f>
        <v>#REF!</v>
      </c>
      <c r="F868" s="138" t="e">
        <f>IF(Outline!$C$14&gt;0,Gradesheet!#REF!,"NA")</f>
        <v>#REF!</v>
      </c>
      <c r="G868" s="138" t="e">
        <f>IF(Outline!$C$14&gt;0,Gradesheet!#REF!,Gradesheet!#REF!)</f>
        <v>#REF!</v>
      </c>
      <c r="H868" s="139" t="e">
        <f t="shared" si="14"/>
        <v>#REF!</v>
      </c>
    </row>
    <row r="869" spans="2:8" hidden="1" x14ac:dyDescent="0.25">
      <c r="B869" s="90" t="e">
        <f>Gradesheet!#REF!</f>
        <v>#REF!</v>
      </c>
      <c r="C869" s="91" t="e">
        <f>(Gradesheet!#REF!)</f>
        <v>#REF!</v>
      </c>
      <c r="D869" s="92" t="e">
        <f>IF(Outline!$C$14&gt;0,Gradesheet!#REF!,Gradesheet!#REF!)</f>
        <v>#REF!</v>
      </c>
      <c r="E869" s="138" t="e">
        <f>IF(Outline!$C$14&gt;0,Gradesheet!#REF!,Gradesheet!#REF!)</f>
        <v>#REF!</v>
      </c>
      <c r="F869" s="138" t="e">
        <f>IF(Outline!$C$14&gt;0,Gradesheet!#REF!,"NA")</f>
        <v>#REF!</v>
      </c>
      <c r="G869" s="138" t="e">
        <f>IF(Outline!$C$14&gt;0,Gradesheet!#REF!,Gradesheet!#REF!)</f>
        <v>#REF!</v>
      </c>
      <c r="H869" s="139" t="e">
        <f t="shared" si="14"/>
        <v>#REF!</v>
      </c>
    </row>
    <row r="870" spans="2:8" hidden="1" x14ac:dyDescent="0.25">
      <c r="B870" s="90" t="e">
        <f>Gradesheet!#REF!</f>
        <v>#REF!</v>
      </c>
      <c r="C870" s="91" t="e">
        <f>(Gradesheet!#REF!)</f>
        <v>#REF!</v>
      </c>
      <c r="D870" s="92" t="e">
        <f>IF(Outline!$C$14&gt;0,Gradesheet!#REF!,Gradesheet!#REF!)</f>
        <v>#REF!</v>
      </c>
      <c r="E870" s="138" t="e">
        <f>IF(Outline!$C$14&gt;0,Gradesheet!#REF!,Gradesheet!#REF!)</f>
        <v>#REF!</v>
      </c>
      <c r="F870" s="138" t="e">
        <f>IF(Outline!$C$14&gt;0,Gradesheet!#REF!,"NA")</f>
        <v>#REF!</v>
      </c>
      <c r="G870" s="138" t="e">
        <f>IF(Outline!$C$14&gt;0,Gradesheet!#REF!,Gradesheet!#REF!)</f>
        <v>#REF!</v>
      </c>
      <c r="H870" s="139" t="e">
        <f t="shared" si="14"/>
        <v>#REF!</v>
      </c>
    </row>
    <row r="871" spans="2:8" hidden="1" x14ac:dyDescent="0.25">
      <c r="B871" s="90" t="e">
        <f>Gradesheet!#REF!</f>
        <v>#REF!</v>
      </c>
      <c r="C871" s="91" t="e">
        <f>(Gradesheet!#REF!)</f>
        <v>#REF!</v>
      </c>
      <c r="D871" s="92" t="e">
        <f>IF(Outline!$C$14&gt;0,Gradesheet!#REF!,Gradesheet!#REF!)</f>
        <v>#REF!</v>
      </c>
      <c r="E871" s="138" t="e">
        <f>IF(Outline!$C$14&gt;0,Gradesheet!#REF!,Gradesheet!#REF!)</f>
        <v>#REF!</v>
      </c>
      <c r="F871" s="138" t="e">
        <f>IF(Outline!$C$14&gt;0,Gradesheet!#REF!,"NA")</f>
        <v>#REF!</v>
      </c>
      <c r="G871" s="138" t="e">
        <f>IF(Outline!$C$14&gt;0,Gradesheet!#REF!,Gradesheet!#REF!)</f>
        <v>#REF!</v>
      </c>
      <c r="H871" s="139" t="e">
        <f t="shared" si="14"/>
        <v>#REF!</v>
      </c>
    </row>
    <row r="872" spans="2:8" hidden="1" x14ac:dyDescent="0.25">
      <c r="B872" s="90" t="e">
        <f>Gradesheet!#REF!</f>
        <v>#REF!</v>
      </c>
      <c r="C872" s="91" t="e">
        <f>(Gradesheet!#REF!)</f>
        <v>#REF!</v>
      </c>
      <c r="D872" s="92" t="e">
        <f>IF(Outline!$C$14&gt;0,Gradesheet!#REF!,Gradesheet!#REF!)</f>
        <v>#REF!</v>
      </c>
      <c r="E872" s="138" t="e">
        <f>IF(Outline!$C$14&gt;0,Gradesheet!#REF!,Gradesheet!#REF!)</f>
        <v>#REF!</v>
      </c>
      <c r="F872" s="138" t="e">
        <f>IF(Outline!$C$14&gt;0,Gradesheet!#REF!,"NA")</f>
        <v>#REF!</v>
      </c>
      <c r="G872" s="138" t="e">
        <f>IF(Outline!$C$14&gt;0,Gradesheet!#REF!,Gradesheet!#REF!)</f>
        <v>#REF!</v>
      </c>
      <c r="H872" s="139" t="e">
        <f t="shared" si="14"/>
        <v>#REF!</v>
      </c>
    </row>
    <row r="873" spans="2:8" hidden="1" x14ac:dyDescent="0.25">
      <c r="B873" s="90" t="e">
        <f>Gradesheet!#REF!</f>
        <v>#REF!</v>
      </c>
      <c r="C873" s="91" t="e">
        <f>(Gradesheet!#REF!)</f>
        <v>#REF!</v>
      </c>
      <c r="D873" s="92" t="e">
        <f>IF(Outline!$C$14&gt;0,Gradesheet!#REF!,Gradesheet!#REF!)</f>
        <v>#REF!</v>
      </c>
      <c r="E873" s="138" t="e">
        <f>IF(Outline!$C$14&gt;0,Gradesheet!#REF!,Gradesheet!#REF!)</f>
        <v>#REF!</v>
      </c>
      <c r="F873" s="138" t="e">
        <f>IF(Outline!$C$14&gt;0,Gradesheet!#REF!,"NA")</f>
        <v>#REF!</v>
      </c>
      <c r="G873" s="138" t="e">
        <f>IF(Outline!$C$14&gt;0,Gradesheet!#REF!,Gradesheet!#REF!)</f>
        <v>#REF!</v>
      </c>
      <c r="H873" s="139" t="e">
        <f t="shared" si="14"/>
        <v>#REF!</v>
      </c>
    </row>
    <row r="874" spans="2:8" hidden="1" x14ac:dyDescent="0.25">
      <c r="B874" s="90" t="e">
        <f>Gradesheet!#REF!</f>
        <v>#REF!</v>
      </c>
      <c r="C874" s="91" t="e">
        <f>(Gradesheet!#REF!)</f>
        <v>#REF!</v>
      </c>
      <c r="D874" s="92" t="e">
        <f>IF(Outline!$C$14&gt;0,Gradesheet!#REF!,Gradesheet!#REF!)</f>
        <v>#REF!</v>
      </c>
      <c r="E874" s="138" t="e">
        <f>IF(Outline!$C$14&gt;0,Gradesheet!#REF!,Gradesheet!#REF!)</f>
        <v>#REF!</v>
      </c>
      <c r="F874" s="138" t="e">
        <f>IF(Outline!$C$14&gt;0,Gradesheet!#REF!,"NA")</f>
        <v>#REF!</v>
      </c>
      <c r="G874" s="138" t="e">
        <f>IF(Outline!$C$14&gt;0,Gradesheet!#REF!,Gradesheet!#REF!)</f>
        <v>#REF!</v>
      </c>
      <c r="H874" s="139" t="e">
        <f t="shared" si="14"/>
        <v>#REF!</v>
      </c>
    </row>
    <row r="875" spans="2:8" hidden="1" x14ac:dyDescent="0.25">
      <c r="B875" s="90" t="e">
        <f>Gradesheet!#REF!</f>
        <v>#REF!</v>
      </c>
      <c r="C875" s="91" t="e">
        <f>(Gradesheet!#REF!)</f>
        <v>#REF!</v>
      </c>
      <c r="D875" s="92" t="e">
        <f>IF(Outline!$C$14&gt;0,Gradesheet!#REF!,Gradesheet!#REF!)</f>
        <v>#REF!</v>
      </c>
      <c r="E875" s="138" t="e">
        <f>IF(Outline!$C$14&gt;0,Gradesheet!#REF!,Gradesheet!#REF!)</f>
        <v>#REF!</v>
      </c>
      <c r="F875" s="138" t="e">
        <f>IF(Outline!$C$14&gt;0,Gradesheet!#REF!,"NA")</f>
        <v>#REF!</v>
      </c>
      <c r="G875" s="138" t="e">
        <f>IF(Outline!$C$14&gt;0,Gradesheet!#REF!,Gradesheet!#REF!)</f>
        <v>#REF!</v>
      </c>
      <c r="H875" s="139" t="e">
        <f t="shared" si="14"/>
        <v>#REF!</v>
      </c>
    </row>
    <row r="876" spans="2:8" hidden="1" x14ac:dyDescent="0.25">
      <c r="B876" s="90" t="e">
        <f>Gradesheet!#REF!</f>
        <v>#REF!</v>
      </c>
      <c r="C876" s="91" t="e">
        <f>(Gradesheet!#REF!)</f>
        <v>#REF!</v>
      </c>
      <c r="D876" s="92" t="e">
        <f>IF(Outline!$C$14&gt;0,Gradesheet!#REF!,Gradesheet!#REF!)</f>
        <v>#REF!</v>
      </c>
      <c r="E876" s="138" t="e">
        <f>IF(Outline!$C$14&gt;0,Gradesheet!#REF!,Gradesheet!#REF!)</f>
        <v>#REF!</v>
      </c>
      <c r="F876" s="138" t="e">
        <f>IF(Outline!$C$14&gt;0,Gradesheet!#REF!,"NA")</f>
        <v>#REF!</v>
      </c>
      <c r="G876" s="138" t="e">
        <f>IF(Outline!$C$14&gt;0,Gradesheet!#REF!,Gradesheet!#REF!)</f>
        <v>#REF!</v>
      </c>
      <c r="H876" s="139" t="e">
        <f t="shared" si="14"/>
        <v>#REF!</v>
      </c>
    </row>
    <row r="877" spans="2:8" hidden="1" x14ac:dyDescent="0.25">
      <c r="B877" s="90" t="e">
        <f>Gradesheet!#REF!</f>
        <v>#REF!</v>
      </c>
      <c r="C877" s="91" t="e">
        <f>(Gradesheet!#REF!)</f>
        <v>#REF!</v>
      </c>
      <c r="D877" s="92" t="e">
        <f>IF(Outline!$C$14&gt;0,Gradesheet!#REF!,Gradesheet!#REF!)</f>
        <v>#REF!</v>
      </c>
      <c r="E877" s="138" t="e">
        <f>IF(Outline!$C$14&gt;0,Gradesheet!#REF!,Gradesheet!#REF!)</f>
        <v>#REF!</v>
      </c>
      <c r="F877" s="138" t="e">
        <f>IF(Outline!$C$14&gt;0,Gradesheet!#REF!,"NA")</f>
        <v>#REF!</v>
      </c>
      <c r="G877" s="138" t="e">
        <f>IF(Outline!$C$14&gt;0,Gradesheet!#REF!,Gradesheet!#REF!)</f>
        <v>#REF!</v>
      </c>
      <c r="H877" s="139" t="e">
        <f t="shared" si="14"/>
        <v>#REF!</v>
      </c>
    </row>
    <row r="878" spans="2:8" hidden="1" x14ac:dyDescent="0.25">
      <c r="B878" s="90" t="e">
        <f>Gradesheet!#REF!</f>
        <v>#REF!</v>
      </c>
      <c r="C878" s="91" t="e">
        <f>(Gradesheet!#REF!)</f>
        <v>#REF!</v>
      </c>
      <c r="D878" s="92" t="e">
        <f>IF(Outline!$C$14&gt;0,Gradesheet!#REF!,Gradesheet!#REF!)</f>
        <v>#REF!</v>
      </c>
      <c r="E878" s="138" t="e">
        <f>IF(Outline!$C$14&gt;0,Gradesheet!#REF!,Gradesheet!#REF!)</f>
        <v>#REF!</v>
      </c>
      <c r="F878" s="138" t="e">
        <f>IF(Outline!$C$14&gt;0,Gradesheet!#REF!,"NA")</f>
        <v>#REF!</v>
      </c>
      <c r="G878" s="138" t="e">
        <f>IF(Outline!$C$14&gt;0,Gradesheet!#REF!,Gradesheet!#REF!)</f>
        <v>#REF!</v>
      </c>
      <c r="H878" s="139" t="e">
        <f t="shared" si="14"/>
        <v>#REF!</v>
      </c>
    </row>
    <row r="879" spans="2:8" hidden="1" x14ac:dyDescent="0.25">
      <c r="B879" s="90" t="e">
        <f>Gradesheet!#REF!</f>
        <v>#REF!</v>
      </c>
      <c r="C879" s="91" t="e">
        <f>(Gradesheet!#REF!)</f>
        <v>#REF!</v>
      </c>
      <c r="D879" s="92" t="e">
        <f>IF(Outline!$C$14&gt;0,Gradesheet!#REF!,Gradesheet!#REF!)</f>
        <v>#REF!</v>
      </c>
      <c r="E879" s="138" t="e">
        <f>IF(Outline!$C$14&gt;0,Gradesheet!#REF!,Gradesheet!#REF!)</f>
        <v>#REF!</v>
      </c>
      <c r="F879" s="138" t="e">
        <f>IF(Outline!$C$14&gt;0,Gradesheet!#REF!,"NA")</f>
        <v>#REF!</v>
      </c>
      <c r="G879" s="138" t="e">
        <f>IF(Outline!$C$14&gt;0,Gradesheet!#REF!,Gradesheet!#REF!)</f>
        <v>#REF!</v>
      </c>
      <c r="H879" s="139" t="e">
        <f t="shared" si="14"/>
        <v>#REF!</v>
      </c>
    </row>
    <row r="880" spans="2:8" hidden="1" x14ac:dyDescent="0.25">
      <c r="B880" s="90" t="e">
        <f>Gradesheet!#REF!</f>
        <v>#REF!</v>
      </c>
      <c r="C880" s="91" t="e">
        <f>(Gradesheet!#REF!)</f>
        <v>#REF!</v>
      </c>
      <c r="D880" s="92" t="e">
        <f>IF(Outline!$C$14&gt;0,Gradesheet!#REF!,Gradesheet!#REF!)</f>
        <v>#REF!</v>
      </c>
      <c r="E880" s="138" t="e">
        <f>IF(Outline!$C$14&gt;0,Gradesheet!#REF!,Gradesheet!#REF!)</f>
        <v>#REF!</v>
      </c>
      <c r="F880" s="138" t="e">
        <f>IF(Outline!$C$14&gt;0,Gradesheet!#REF!,"NA")</f>
        <v>#REF!</v>
      </c>
      <c r="G880" s="138" t="e">
        <f>IF(Outline!$C$14&gt;0,Gradesheet!#REF!,Gradesheet!#REF!)</f>
        <v>#REF!</v>
      </c>
      <c r="H880" s="139" t="e">
        <f t="shared" si="14"/>
        <v>#REF!</v>
      </c>
    </row>
    <row r="881" spans="2:8" hidden="1" x14ac:dyDescent="0.25">
      <c r="B881" s="90" t="e">
        <f>Gradesheet!#REF!</f>
        <v>#REF!</v>
      </c>
      <c r="C881" s="91" t="e">
        <f>(Gradesheet!#REF!)</f>
        <v>#REF!</v>
      </c>
      <c r="D881" s="92" t="e">
        <f>IF(Outline!$C$14&gt;0,Gradesheet!#REF!,Gradesheet!#REF!)</f>
        <v>#REF!</v>
      </c>
      <c r="E881" s="138" t="e">
        <f>IF(Outline!$C$14&gt;0,Gradesheet!#REF!,Gradesheet!#REF!)</f>
        <v>#REF!</v>
      </c>
      <c r="F881" s="138" t="e">
        <f>IF(Outline!$C$14&gt;0,Gradesheet!#REF!,"NA")</f>
        <v>#REF!</v>
      </c>
      <c r="G881" s="138" t="e">
        <f>IF(Outline!$C$14&gt;0,Gradesheet!#REF!,Gradesheet!#REF!)</f>
        <v>#REF!</v>
      </c>
      <c r="H881" s="139" t="e">
        <f t="shared" si="14"/>
        <v>#REF!</v>
      </c>
    </row>
    <row r="882" spans="2:8" hidden="1" x14ac:dyDescent="0.25">
      <c r="B882" s="90" t="e">
        <f>Gradesheet!#REF!</f>
        <v>#REF!</v>
      </c>
      <c r="C882" s="91" t="e">
        <f>(Gradesheet!#REF!)</f>
        <v>#REF!</v>
      </c>
      <c r="D882" s="92" t="e">
        <f>IF(Outline!$C$14&gt;0,Gradesheet!#REF!,Gradesheet!#REF!)</f>
        <v>#REF!</v>
      </c>
      <c r="E882" s="138" t="e">
        <f>IF(Outline!$C$14&gt;0,Gradesheet!#REF!,Gradesheet!#REF!)</f>
        <v>#REF!</v>
      </c>
      <c r="F882" s="138" t="e">
        <f>IF(Outline!$C$14&gt;0,Gradesheet!#REF!,"NA")</f>
        <v>#REF!</v>
      </c>
      <c r="G882" s="138" t="e">
        <f>IF(Outline!$C$14&gt;0,Gradesheet!#REF!,Gradesheet!#REF!)</f>
        <v>#REF!</v>
      </c>
      <c r="H882" s="139" t="e">
        <f t="shared" si="14"/>
        <v>#REF!</v>
      </c>
    </row>
    <row r="883" spans="2:8" hidden="1" x14ac:dyDescent="0.25">
      <c r="B883" s="90" t="e">
        <f>Gradesheet!#REF!</f>
        <v>#REF!</v>
      </c>
      <c r="C883" s="91" t="e">
        <f>(Gradesheet!#REF!)</f>
        <v>#REF!</v>
      </c>
      <c r="D883" s="92" t="e">
        <f>IF(Outline!$C$14&gt;0,Gradesheet!#REF!,Gradesheet!#REF!)</f>
        <v>#REF!</v>
      </c>
      <c r="E883" s="138" t="e">
        <f>IF(Outline!$C$14&gt;0,Gradesheet!#REF!,Gradesheet!#REF!)</f>
        <v>#REF!</v>
      </c>
      <c r="F883" s="138" t="e">
        <f>IF(Outline!$C$14&gt;0,Gradesheet!#REF!,"NA")</f>
        <v>#REF!</v>
      </c>
      <c r="G883" s="138" t="e">
        <f>IF(Outline!$C$14&gt;0,Gradesheet!#REF!,Gradesheet!#REF!)</f>
        <v>#REF!</v>
      </c>
      <c r="H883" s="139" t="e">
        <f t="shared" si="14"/>
        <v>#REF!</v>
      </c>
    </row>
    <row r="884" spans="2:8" hidden="1" x14ac:dyDescent="0.25">
      <c r="B884" s="90" t="e">
        <f>Gradesheet!#REF!</f>
        <v>#REF!</v>
      </c>
      <c r="C884" s="91" t="e">
        <f>(Gradesheet!#REF!)</f>
        <v>#REF!</v>
      </c>
      <c r="D884" s="92" t="e">
        <f>IF(Outline!$C$14&gt;0,Gradesheet!#REF!,Gradesheet!#REF!)</f>
        <v>#REF!</v>
      </c>
      <c r="E884" s="138" t="e">
        <f>IF(Outline!$C$14&gt;0,Gradesheet!#REF!,Gradesheet!#REF!)</f>
        <v>#REF!</v>
      </c>
      <c r="F884" s="138" t="e">
        <f>IF(Outline!$C$14&gt;0,Gradesheet!#REF!,"NA")</f>
        <v>#REF!</v>
      </c>
      <c r="G884" s="138" t="e">
        <f>IF(Outline!$C$14&gt;0,Gradesheet!#REF!,Gradesheet!#REF!)</f>
        <v>#REF!</v>
      </c>
      <c r="H884" s="139" t="e">
        <f t="shared" si="14"/>
        <v>#REF!</v>
      </c>
    </row>
    <row r="885" spans="2:8" hidden="1" x14ac:dyDescent="0.25">
      <c r="B885" s="90" t="e">
        <f>Gradesheet!#REF!</f>
        <v>#REF!</v>
      </c>
      <c r="C885" s="91" t="e">
        <f>(Gradesheet!#REF!)</f>
        <v>#REF!</v>
      </c>
      <c r="D885" s="92" t="e">
        <f>IF(Outline!$C$14&gt;0,Gradesheet!#REF!,Gradesheet!#REF!)</f>
        <v>#REF!</v>
      </c>
      <c r="E885" s="138" t="e">
        <f>IF(Outline!$C$14&gt;0,Gradesheet!#REF!,Gradesheet!#REF!)</f>
        <v>#REF!</v>
      </c>
      <c r="F885" s="138" t="e">
        <f>IF(Outline!$C$14&gt;0,Gradesheet!#REF!,"NA")</f>
        <v>#REF!</v>
      </c>
      <c r="G885" s="138" t="e">
        <f>IF(Outline!$C$14&gt;0,Gradesheet!#REF!,Gradesheet!#REF!)</f>
        <v>#REF!</v>
      </c>
      <c r="H885" s="139" t="e">
        <f t="shared" si="14"/>
        <v>#REF!</v>
      </c>
    </row>
    <row r="886" spans="2:8" hidden="1" x14ac:dyDescent="0.25">
      <c r="B886" s="90" t="e">
        <f>Gradesheet!#REF!</f>
        <v>#REF!</v>
      </c>
      <c r="C886" s="91" t="e">
        <f>(Gradesheet!#REF!)</f>
        <v>#REF!</v>
      </c>
      <c r="D886" s="92" t="e">
        <f>IF(Outline!$C$14&gt;0,Gradesheet!#REF!,Gradesheet!#REF!)</f>
        <v>#REF!</v>
      </c>
      <c r="E886" s="138" t="e">
        <f>IF(Outline!$C$14&gt;0,Gradesheet!#REF!,Gradesheet!#REF!)</f>
        <v>#REF!</v>
      </c>
      <c r="F886" s="138" t="e">
        <f>IF(Outline!$C$14&gt;0,Gradesheet!#REF!,"NA")</f>
        <v>#REF!</v>
      </c>
      <c r="G886" s="138" t="e">
        <f>IF(Outline!$C$14&gt;0,Gradesheet!#REF!,Gradesheet!#REF!)</f>
        <v>#REF!</v>
      </c>
      <c r="H886" s="139" t="e">
        <f t="shared" si="14"/>
        <v>#REF!</v>
      </c>
    </row>
    <row r="887" spans="2:8" hidden="1" x14ac:dyDescent="0.25">
      <c r="B887" s="90" t="e">
        <f>Gradesheet!#REF!</f>
        <v>#REF!</v>
      </c>
      <c r="C887" s="91" t="e">
        <f>(Gradesheet!#REF!)</f>
        <v>#REF!</v>
      </c>
      <c r="D887" s="92" t="e">
        <f>IF(Outline!$C$14&gt;0,Gradesheet!#REF!,Gradesheet!#REF!)</f>
        <v>#REF!</v>
      </c>
      <c r="E887" s="138" t="e">
        <f>IF(Outline!$C$14&gt;0,Gradesheet!#REF!,Gradesheet!#REF!)</f>
        <v>#REF!</v>
      </c>
      <c r="F887" s="138" t="e">
        <f>IF(Outline!$C$14&gt;0,Gradesheet!#REF!,"NA")</f>
        <v>#REF!</v>
      </c>
      <c r="G887" s="138" t="e">
        <f>IF(Outline!$C$14&gt;0,Gradesheet!#REF!,Gradesheet!#REF!)</f>
        <v>#REF!</v>
      </c>
      <c r="H887" s="139" t="e">
        <f t="shared" si="14"/>
        <v>#REF!</v>
      </c>
    </row>
    <row r="888" spans="2:8" hidden="1" x14ac:dyDescent="0.25">
      <c r="B888" s="90" t="e">
        <f>Gradesheet!#REF!</f>
        <v>#REF!</v>
      </c>
      <c r="C888" s="91" t="e">
        <f>(Gradesheet!#REF!)</f>
        <v>#REF!</v>
      </c>
      <c r="D888" s="92" t="e">
        <f>IF(Outline!$C$14&gt;0,Gradesheet!#REF!,Gradesheet!#REF!)</f>
        <v>#REF!</v>
      </c>
      <c r="E888" s="138" t="e">
        <f>IF(Outline!$C$14&gt;0,Gradesheet!#REF!,Gradesheet!#REF!)</f>
        <v>#REF!</v>
      </c>
      <c r="F888" s="138" t="e">
        <f>IF(Outline!$C$14&gt;0,Gradesheet!#REF!,"NA")</f>
        <v>#REF!</v>
      </c>
      <c r="G888" s="138" t="e">
        <f>IF(Outline!$C$14&gt;0,Gradesheet!#REF!,Gradesheet!#REF!)</f>
        <v>#REF!</v>
      </c>
      <c r="H888" s="139" t="e">
        <f t="shared" si="14"/>
        <v>#REF!</v>
      </c>
    </row>
    <row r="889" spans="2:8" hidden="1" x14ac:dyDescent="0.25">
      <c r="B889" s="90" t="e">
        <f>Gradesheet!#REF!</f>
        <v>#REF!</v>
      </c>
      <c r="C889" s="91" t="e">
        <f>(Gradesheet!#REF!)</f>
        <v>#REF!</v>
      </c>
      <c r="D889" s="92" t="e">
        <f>IF(Outline!$C$14&gt;0,Gradesheet!#REF!,Gradesheet!#REF!)</f>
        <v>#REF!</v>
      </c>
      <c r="E889" s="138" t="e">
        <f>IF(Outline!$C$14&gt;0,Gradesheet!#REF!,Gradesheet!#REF!)</f>
        <v>#REF!</v>
      </c>
      <c r="F889" s="138" t="e">
        <f>IF(Outline!$C$14&gt;0,Gradesheet!#REF!,"NA")</f>
        <v>#REF!</v>
      </c>
      <c r="G889" s="138" t="e">
        <f>IF(Outline!$C$14&gt;0,Gradesheet!#REF!,Gradesheet!#REF!)</f>
        <v>#REF!</v>
      </c>
      <c r="H889" s="139" t="e">
        <f t="shared" si="14"/>
        <v>#REF!</v>
      </c>
    </row>
    <row r="890" spans="2:8" hidden="1" x14ac:dyDescent="0.25">
      <c r="B890" s="90" t="e">
        <f>Gradesheet!#REF!</f>
        <v>#REF!</v>
      </c>
      <c r="C890" s="91" t="e">
        <f>(Gradesheet!#REF!)</f>
        <v>#REF!</v>
      </c>
      <c r="D890" s="92" t="e">
        <f>IF(Outline!$C$14&gt;0,Gradesheet!#REF!,Gradesheet!#REF!)</f>
        <v>#REF!</v>
      </c>
      <c r="E890" s="138" t="e">
        <f>IF(Outline!$C$14&gt;0,Gradesheet!#REF!,Gradesheet!#REF!)</f>
        <v>#REF!</v>
      </c>
      <c r="F890" s="138" t="e">
        <f>IF(Outline!$C$14&gt;0,Gradesheet!#REF!,"NA")</f>
        <v>#REF!</v>
      </c>
      <c r="G890" s="138" t="e">
        <f>IF(Outline!$C$14&gt;0,Gradesheet!#REF!,Gradesheet!#REF!)</f>
        <v>#REF!</v>
      </c>
      <c r="H890" s="139" t="e">
        <f t="shared" si="14"/>
        <v>#REF!</v>
      </c>
    </row>
    <row r="891" spans="2:8" hidden="1" x14ac:dyDescent="0.25">
      <c r="B891" s="90" t="e">
        <f>Gradesheet!#REF!</f>
        <v>#REF!</v>
      </c>
      <c r="C891" s="91" t="e">
        <f>(Gradesheet!#REF!)</f>
        <v>#REF!</v>
      </c>
      <c r="D891" s="92" t="e">
        <f>IF(Outline!$C$14&gt;0,Gradesheet!#REF!,Gradesheet!#REF!)</f>
        <v>#REF!</v>
      </c>
      <c r="E891" s="138" t="e">
        <f>IF(Outline!$C$14&gt;0,Gradesheet!#REF!,Gradesheet!#REF!)</f>
        <v>#REF!</v>
      </c>
      <c r="F891" s="138" t="e">
        <f>IF(Outline!$C$14&gt;0,Gradesheet!#REF!,"NA")</f>
        <v>#REF!</v>
      </c>
      <c r="G891" s="138" t="e">
        <f>IF(Outline!$C$14&gt;0,Gradesheet!#REF!,Gradesheet!#REF!)</f>
        <v>#REF!</v>
      </c>
      <c r="H891" s="139" t="e">
        <f t="shared" si="14"/>
        <v>#REF!</v>
      </c>
    </row>
    <row r="892" spans="2:8" hidden="1" x14ac:dyDescent="0.25">
      <c r="B892" s="90" t="e">
        <f>Gradesheet!#REF!</f>
        <v>#REF!</v>
      </c>
      <c r="C892" s="91" t="e">
        <f>(Gradesheet!#REF!)</f>
        <v>#REF!</v>
      </c>
      <c r="D892" s="92" t="e">
        <f>IF(Outline!$C$14&gt;0,Gradesheet!#REF!,Gradesheet!#REF!)</f>
        <v>#REF!</v>
      </c>
      <c r="E892" s="138" t="e">
        <f>IF(Outline!$C$14&gt;0,Gradesheet!#REF!,Gradesheet!#REF!)</f>
        <v>#REF!</v>
      </c>
      <c r="F892" s="138" t="e">
        <f>IF(Outline!$C$14&gt;0,Gradesheet!#REF!,"NA")</f>
        <v>#REF!</v>
      </c>
      <c r="G892" s="138" t="e">
        <f>IF(Outline!$C$14&gt;0,Gradesheet!#REF!,Gradesheet!#REF!)</f>
        <v>#REF!</v>
      </c>
      <c r="H892" s="139" t="e">
        <f t="shared" si="14"/>
        <v>#REF!</v>
      </c>
    </row>
    <row r="893" spans="2:8" hidden="1" x14ac:dyDescent="0.25">
      <c r="B893" s="90" t="e">
        <f>Gradesheet!#REF!</f>
        <v>#REF!</v>
      </c>
      <c r="C893" s="91" t="e">
        <f>(Gradesheet!#REF!)</f>
        <v>#REF!</v>
      </c>
      <c r="D893" s="92" t="e">
        <f>IF(Outline!$C$14&gt;0,Gradesheet!#REF!,Gradesheet!#REF!)</f>
        <v>#REF!</v>
      </c>
      <c r="E893" s="138" t="e">
        <f>IF(Outline!$C$14&gt;0,Gradesheet!#REF!,Gradesheet!#REF!)</f>
        <v>#REF!</v>
      </c>
      <c r="F893" s="138" t="e">
        <f>IF(Outline!$C$14&gt;0,Gradesheet!#REF!,"NA")</f>
        <v>#REF!</v>
      </c>
      <c r="G893" s="138" t="e">
        <f>IF(Outline!$C$14&gt;0,Gradesheet!#REF!,Gradesheet!#REF!)</f>
        <v>#REF!</v>
      </c>
      <c r="H893" s="139" t="e">
        <f t="shared" si="14"/>
        <v>#REF!</v>
      </c>
    </row>
    <row r="894" spans="2:8" hidden="1" x14ac:dyDescent="0.25">
      <c r="B894" s="90" t="e">
        <f>Gradesheet!#REF!</f>
        <v>#REF!</v>
      </c>
      <c r="C894" s="91" t="e">
        <f>(Gradesheet!#REF!)</f>
        <v>#REF!</v>
      </c>
      <c r="D894" s="92" t="e">
        <f>IF(Outline!$C$14&gt;0,Gradesheet!#REF!,Gradesheet!#REF!)</f>
        <v>#REF!</v>
      </c>
      <c r="E894" s="138" t="e">
        <f>IF(Outline!$C$14&gt;0,Gradesheet!#REF!,Gradesheet!#REF!)</f>
        <v>#REF!</v>
      </c>
      <c r="F894" s="138" t="e">
        <f>IF(Outline!$C$14&gt;0,Gradesheet!#REF!,"NA")</f>
        <v>#REF!</v>
      </c>
      <c r="G894" s="138" t="e">
        <f>IF(Outline!$C$14&gt;0,Gradesheet!#REF!,Gradesheet!#REF!)</f>
        <v>#REF!</v>
      </c>
      <c r="H894" s="139" t="e">
        <f t="shared" si="14"/>
        <v>#REF!</v>
      </c>
    </row>
    <row r="895" spans="2:8" hidden="1" x14ac:dyDescent="0.25">
      <c r="B895" s="90" t="e">
        <f>Gradesheet!#REF!</f>
        <v>#REF!</v>
      </c>
      <c r="C895" s="91" t="e">
        <f>(Gradesheet!#REF!)</f>
        <v>#REF!</v>
      </c>
      <c r="D895" s="92" t="e">
        <f>IF(Outline!$C$14&gt;0,Gradesheet!#REF!,Gradesheet!#REF!)</f>
        <v>#REF!</v>
      </c>
      <c r="E895" s="138" t="e">
        <f>IF(Outline!$C$14&gt;0,Gradesheet!#REF!,Gradesheet!#REF!)</f>
        <v>#REF!</v>
      </c>
      <c r="F895" s="138" t="e">
        <f>IF(Outline!$C$14&gt;0,Gradesheet!#REF!,"NA")</f>
        <v>#REF!</v>
      </c>
      <c r="G895" s="138" t="e">
        <f>IF(Outline!$C$14&gt;0,Gradesheet!#REF!,Gradesheet!#REF!)</f>
        <v>#REF!</v>
      </c>
      <c r="H895" s="139" t="e">
        <f t="shared" si="14"/>
        <v>#REF!</v>
      </c>
    </row>
    <row r="896" spans="2:8" hidden="1" x14ac:dyDescent="0.25">
      <c r="B896" s="90" t="e">
        <f>Gradesheet!#REF!</f>
        <v>#REF!</v>
      </c>
      <c r="C896" s="91" t="e">
        <f>(Gradesheet!#REF!)</f>
        <v>#REF!</v>
      </c>
      <c r="D896" s="92" t="e">
        <f>IF(Outline!$C$14&gt;0,Gradesheet!#REF!,Gradesheet!#REF!)</f>
        <v>#REF!</v>
      </c>
      <c r="E896" s="138" t="e">
        <f>IF(Outline!$C$14&gt;0,Gradesheet!#REF!,Gradesheet!#REF!)</f>
        <v>#REF!</v>
      </c>
      <c r="F896" s="138" t="e">
        <f>IF(Outline!$C$14&gt;0,Gradesheet!#REF!,"NA")</f>
        <v>#REF!</v>
      </c>
      <c r="G896" s="138" t="e">
        <f>IF(Outline!$C$14&gt;0,Gradesheet!#REF!,Gradesheet!#REF!)</f>
        <v>#REF!</v>
      </c>
      <c r="H896" s="139" t="e">
        <f t="shared" si="14"/>
        <v>#REF!</v>
      </c>
    </row>
    <row r="897" spans="2:8" hidden="1" x14ac:dyDescent="0.25">
      <c r="B897" s="90" t="e">
        <f>Gradesheet!#REF!</f>
        <v>#REF!</v>
      </c>
      <c r="C897" s="91" t="e">
        <f>(Gradesheet!#REF!)</f>
        <v>#REF!</v>
      </c>
      <c r="D897" s="92" t="e">
        <f>IF(Outline!$C$14&gt;0,Gradesheet!#REF!,Gradesheet!#REF!)</f>
        <v>#REF!</v>
      </c>
      <c r="E897" s="138" t="e">
        <f>IF(Outline!$C$14&gt;0,Gradesheet!#REF!,Gradesheet!#REF!)</f>
        <v>#REF!</v>
      </c>
      <c r="F897" s="138" t="e">
        <f>IF(Outline!$C$14&gt;0,Gradesheet!#REF!,"NA")</f>
        <v>#REF!</v>
      </c>
      <c r="G897" s="138" t="e">
        <f>IF(Outline!$C$14&gt;0,Gradesheet!#REF!,Gradesheet!#REF!)</f>
        <v>#REF!</v>
      </c>
      <c r="H897" s="139" t="e">
        <f t="shared" si="14"/>
        <v>#REF!</v>
      </c>
    </row>
    <row r="898" spans="2:8" hidden="1" x14ac:dyDescent="0.25">
      <c r="B898" s="90" t="e">
        <f>Gradesheet!#REF!</f>
        <v>#REF!</v>
      </c>
      <c r="C898" s="91" t="e">
        <f>(Gradesheet!#REF!)</f>
        <v>#REF!</v>
      </c>
      <c r="D898" s="92" t="e">
        <f>IF(Outline!$C$14&gt;0,Gradesheet!#REF!,Gradesheet!#REF!)</f>
        <v>#REF!</v>
      </c>
      <c r="E898" s="138" t="e">
        <f>IF(Outline!$C$14&gt;0,Gradesheet!#REF!,Gradesheet!#REF!)</f>
        <v>#REF!</v>
      </c>
      <c r="F898" s="138" t="e">
        <f>IF(Outline!$C$14&gt;0,Gradesheet!#REF!,"NA")</f>
        <v>#REF!</v>
      </c>
      <c r="G898" s="138" t="e">
        <f>IF(Outline!$C$14&gt;0,Gradesheet!#REF!,Gradesheet!#REF!)</f>
        <v>#REF!</v>
      </c>
      <c r="H898" s="139" t="e">
        <f t="shared" si="14"/>
        <v>#REF!</v>
      </c>
    </row>
    <row r="899" spans="2:8" hidden="1" x14ac:dyDescent="0.25">
      <c r="B899" s="90" t="e">
        <f>Gradesheet!#REF!</f>
        <v>#REF!</v>
      </c>
      <c r="C899" s="91" t="e">
        <f>(Gradesheet!#REF!)</f>
        <v>#REF!</v>
      </c>
      <c r="D899" s="92" t="e">
        <f>IF(Outline!$C$14&gt;0,Gradesheet!#REF!,Gradesheet!#REF!)</f>
        <v>#REF!</v>
      </c>
      <c r="E899" s="138" t="e">
        <f>IF(Outline!$C$14&gt;0,Gradesheet!#REF!,Gradesheet!#REF!)</f>
        <v>#REF!</v>
      </c>
      <c r="F899" s="138" t="e">
        <f>IF(Outline!$C$14&gt;0,Gradesheet!#REF!,"NA")</f>
        <v>#REF!</v>
      </c>
      <c r="G899" s="138" t="e">
        <f>IF(Outline!$C$14&gt;0,Gradesheet!#REF!,Gradesheet!#REF!)</f>
        <v>#REF!</v>
      </c>
      <c r="H899" s="139" t="e">
        <f t="shared" si="14"/>
        <v>#REF!</v>
      </c>
    </row>
    <row r="900" spans="2:8" hidden="1" x14ac:dyDescent="0.25">
      <c r="B900" s="90" t="e">
        <f>Gradesheet!#REF!</f>
        <v>#REF!</v>
      </c>
      <c r="C900" s="91" t="e">
        <f>(Gradesheet!#REF!)</f>
        <v>#REF!</v>
      </c>
      <c r="D900" s="92" t="e">
        <f>IF(Outline!$C$14&gt;0,Gradesheet!#REF!,Gradesheet!#REF!)</f>
        <v>#REF!</v>
      </c>
      <c r="E900" s="138" t="e">
        <f>IF(Outline!$C$14&gt;0,Gradesheet!#REF!,Gradesheet!#REF!)</f>
        <v>#REF!</v>
      </c>
      <c r="F900" s="138" t="e">
        <f>IF(Outline!$C$14&gt;0,Gradesheet!#REF!,"NA")</f>
        <v>#REF!</v>
      </c>
      <c r="G900" s="138" t="e">
        <f>IF(Outline!$C$14&gt;0,Gradesheet!#REF!,Gradesheet!#REF!)</f>
        <v>#REF!</v>
      </c>
      <c r="H900" s="139" t="e">
        <f t="shared" si="14"/>
        <v>#REF!</v>
      </c>
    </row>
    <row r="901" spans="2:8" hidden="1" x14ac:dyDescent="0.25">
      <c r="B901" s="90" t="e">
        <f>Gradesheet!#REF!</f>
        <v>#REF!</v>
      </c>
      <c r="C901" s="91" t="e">
        <f>(Gradesheet!#REF!)</f>
        <v>#REF!</v>
      </c>
      <c r="D901" s="92" t="e">
        <f>IF(Outline!$C$14&gt;0,Gradesheet!#REF!,Gradesheet!#REF!)</f>
        <v>#REF!</v>
      </c>
      <c r="E901" s="138" t="e">
        <f>IF(Outline!$C$14&gt;0,Gradesheet!#REF!,Gradesheet!#REF!)</f>
        <v>#REF!</v>
      </c>
      <c r="F901" s="138" t="e">
        <f>IF(Outline!$C$14&gt;0,Gradesheet!#REF!,"NA")</f>
        <v>#REF!</v>
      </c>
      <c r="G901" s="138" t="e">
        <f>IF(Outline!$C$14&gt;0,Gradesheet!#REF!,Gradesheet!#REF!)</f>
        <v>#REF!</v>
      </c>
      <c r="H901" s="139" t="e">
        <f t="shared" si="14"/>
        <v>#REF!</v>
      </c>
    </row>
    <row r="902" spans="2:8" hidden="1" x14ac:dyDescent="0.25">
      <c r="B902" s="90" t="e">
        <f>Gradesheet!#REF!</f>
        <v>#REF!</v>
      </c>
      <c r="C902" s="91" t="e">
        <f>(Gradesheet!#REF!)</f>
        <v>#REF!</v>
      </c>
      <c r="D902" s="92" t="e">
        <f>IF(Outline!$C$14&gt;0,Gradesheet!#REF!,Gradesheet!#REF!)</f>
        <v>#REF!</v>
      </c>
      <c r="E902" s="138" t="e">
        <f>IF(Outline!$C$14&gt;0,Gradesheet!#REF!,Gradesheet!#REF!)</f>
        <v>#REF!</v>
      </c>
      <c r="F902" s="138" t="e">
        <f>IF(Outline!$C$14&gt;0,Gradesheet!#REF!,"NA")</f>
        <v>#REF!</v>
      </c>
      <c r="G902" s="138" t="e">
        <f>IF(Outline!$C$14&gt;0,Gradesheet!#REF!,Gradesheet!#REF!)</f>
        <v>#REF!</v>
      </c>
      <c r="H902" s="139" t="e">
        <f t="shared" si="14"/>
        <v>#REF!</v>
      </c>
    </row>
    <row r="903" spans="2:8" hidden="1" x14ac:dyDescent="0.25">
      <c r="B903" s="90" t="e">
        <f>Gradesheet!#REF!</f>
        <v>#REF!</v>
      </c>
      <c r="C903" s="91" t="e">
        <f>(Gradesheet!#REF!)</f>
        <v>#REF!</v>
      </c>
      <c r="D903" s="92" t="e">
        <f>IF(Outline!$C$14&gt;0,Gradesheet!#REF!,Gradesheet!#REF!)</f>
        <v>#REF!</v>
      </c>
      <c r="E903" s="138" t="e">
        <f>IF(Outline!$C$14&gt;0,Gradesheet!#REF!,Gradesheet!#REF!)</f>
        <v>#REF!</v>
      </c>
      <c r="F903" s="138" t="e">
        <f>IF(Outline!$C$14&gt;0,Gradesheet!#REF!,"NA")</f>
        <v>#REF!</v>
      </c>
      <c r="G903" s="138" t="e">
        <f>IF(Outline!$C$14&gt;0,Gradesheet!#REF!,Gradesheet!#REF!)</f>
        <v>#REF!</v>
      </c>
      <c r="H903" s="139" t="e">
        <f t="shared" ref="H903:H966" si="15">SUM(D903:G903)</f>
        <v>#REF!</v>
      </c>
    </row>
    <row r="904" spans="2:8" hidden="1" x14ac:dyDescent="0.25">
      <c r="B904" s="90" t="e">
        <f>Gradesheet!#REF!</f>
        <v>#REF!</v>
      </c>
      <c r="C904" s="91" t="e">
        <f>(Gradesheet!#REF!)</f>
        <v>#REF!</v>
      </c>
      <c r="D904" s="92" t="e">
        <f>IF(Outline!$C$14&gt;0,Gradesheet!#REF!,Gradesheet!#REF!)</f>
        <v>#REF!</v>
      </c>
      <c r="E904" s="138" t="e">
        <f>IF(Outline!$C$14&gt;0,Gradesheet!#REF!,Gradesheet!#REF!)</f>
        <v>#REF!</v>
      </c>
      <c r="F904" s="138" t="e">
        <f>IF(Outline!$C$14&gt;0,Gradesheet!#REF!,"NA")</f>
        <v>#REF!</v>
      </c>
      <c r="G904" s="138" t="e">
        <f>IF(Outline!$C$14&gt;0,Gradesheet!#REF!,Gradesheet!#REF!)</f>
        <v>#REF!</v>
      </c>
      <c r="H904" s="139" t="e">
        <f t="shared" si="15"/>
        <v>#REF!</v>
      </c>
    </row>
    <row r="905" spans="2:8" hidden="1" x14ac:dyDescent="0.25">
      <c r="B905" s="90" t="e">
        <f>Gradesheet!#REF!</f>
        <v>#REF!</v>
      </c>
      <c r="C905" s="91" t="e">
        <f>(Gradesheet!#REF!)</f>
        <v>#REF!</v>
      </c>
      <c r="D905" s="92" t="e">
        <f>IF(Outline!$C$14&gt;0,Gradesheet!#REF!,Gradesheet!#REF!)</f>
        <v>#REF!</v>
      </c>
      <c r="E905" s="138" t="e">
        <f>IF(Outline!$C$14&gt;0,Gradesheet!#REF!,Gradesheet!#REF!)</f>
        <v>#REF!</v>
      </c>
      <c r="F905" s="138" t="e">
        <f>IF(Outline!$C$14&gt;0,Gradesheet!#REF!,"NA")</f>
        <v>#REF!</v>
      </c>
      <c r="G905" s="138" t="e">
        <f>IF(Outline!$C$14&gt;0,Gradesheet!#REF!,Gradesheet!#REF!)</f>
        <v>#REF!</v>
      </c>
      <c r="H905" s="139" t="e">
        <f t="shared" si="15"/>
        <v>#REF!</v>
      </c>
    </row>
    <row r="906" spans="2:8" hidden="1" x14ac:dyDescent="0.25">
      <c r="B906" s="90" t="e">
        <f>Gradesheet!#REF!</f>
        <v>#REF!</v>
      </c>
      <c r="C906" s="91" t="e">
        <f>(Gradesheet!#REF!)</f>
        <v>#REF!</v>
      </c>
      <c r="D906" s="92" t="e">
        <f>IF(Outline!$C$14&gt;0,Gradesheet!#REF!,Gradesheet!#REF!)</f>
        <v>#REF!</v>
      </c>
      <c r="E906" s="138" t="e">
        <f>IF(Outline!$C$14&gt;0,Gradesheet!#REF!,Gradesheet!#REF!)</f>
        <v>#REF!</v>
      </c>
      <c r="F906" s="138" t="e">
        <f>IF(Outline!$C$14&gt;0,Gradesheet!#REF!,"NA")</f>
        <v>#REF!</v>
      </c>
      <c r="G906" s="138" t="e">
        <f>IF(Outline!$C$14&gt;0,Gradesheet!#REF!,Gradesheet!#REF!)</f>
        <v>#REF!</v>
      </c>
      <c r="H906" s="139" t="e">
        <f t="shared" si="15"/>
        <v>#REF!</v>
      </c>
    </row>
    <row r="907" spans="2:8" hidden="1" x14ac:dyDescent="0.25">
      <c r="B907" s="90" t="e">
        <f>Gradesheet!#REF!</f>
        <v>#REF!</v>
      </c>
      <c r="C907" s="91" t="e">
        <f>(Gradesheet!#REF!)</f>
        <v>#REF!</v>
      </c>
      <c r="D907" s="92" t="e">
        <f>IF(Outline!$C$14&gt;0,Gradesheet!#REF!,Gradesheet!#REF!)</f>
        <v>#REF!</v>
      </c>
      <c r="E907" s="138" t="e">
        <f>IF(Outline!$C$14&gt;0,Gradesheet!#REF!,Gradesheet!#REF!)</f>
        <v>#REF!</v>
      </c>
      <c r="F907" s="138" t="e">
        <f>IF(Outline!$C$14&gt;0,Gradesheet!#REF!,"NA")</f>
        <v>#REF!</v>
      </c>
      <c r="G907" s="138" t="e">
        <f>IF(Outline!$C$14&gt;0,Gradesheet!#REF!,Gradesheet!#REF!)</f>
        <v>#REF!</v>
      </c>
      <c r="H907" s="139" t="e">
        <f t="shared" si="15"/>
        <v>#REF!</v>
      </c>
    </row>
    <row r="908" spans="2:8" hidden="1" x14ac:dyDescent="0.25">
      <c r="B908" s="90" t="e">
        <f>Gradesheet!#REF!</f>
        <v>#REF!</v>
      </c>
      <c r="C908" s="91" t="e">
        <f>(Gradesheet!#REF!)</f>
        <v>#REF!</v>
      </c>
      <c r="D908" s="92" t="e">
        <f>IF(Outline!$C$14&gt;0,Gradesheet!#REF!,Gradesheet!#REF!)</f>
        <v>#REF!</v>
      </c>
      <c r="E908" s="138" t="e">
        <f>IF(Outline!$C$14&gt;0,Gradesheet!#REF!,Gradesheet!#REF!)</f>
        <v>#REF!</v>
      </c>
      <c r="F908" s="138" t="e">
        <f>IF(Outline!$C$14&gt;0,Gradesheet!#REF!,"NA")</f>
        <v>#REF!</v>
      </c>
      <c r="G908" s="138" t="e">
        <f>IF(Outline!$C$14&gt;0,Gradesheet!#REF!,Gradesheet!#REF!)</f>
        <v>#REF!</v>
      </c>
      <c r="H908" s="139" t="e">
        <f t="shared" si="15"/>
        <v>#REF!</v>
      </c>
    </row>
    <row r="909" spans="2:8" hidden="1" x14ac:dyDescent="0.25">
      <c r="B909" s="90" t="e">
        <f>Gradesheet!#REF!</f>
        <v>#REF!</v>
      </c>
      <c r="C909" s="91" t="e">
        <f>(Gradesheet!#REF!)</f>
        <v>#REF!</v>
      </c>
      <c r="D909" s="92" t="e">
        <f>IF(Outline!$C$14&gt;0,Gradesheet!#REF!,Gradesheet!#REF!)</f>
        <v>#REF!</v>
      </c>
      <c r="E909" s="138" t="e">
        <f>IF(Outline!$C$14&gt;0,Gradesheet!#REF!,Gradesheet!#REF!)</f>
        <v>#REF!</v>
      </c>
      <c r="F909" s="138" t="e">
        <f>IF(Outline!$C$14&gt;0,Gradesheet!#REF!,"NA")</f>
        <v>#REF!</v>
      </c>
      <c r="G909" s="138" t="e">
        <f>IF(Outline!$C$14&gt;0,Gradesheet!#REF!,Gradesheet!#REF!)</f>
        <v>#REF!</v>
      </c>
      <c r="H909" s="139" t="e">
        <f t="shared" si="15"/>
        <v>#REF!</v>
      </c>
    </row>
    <row r="910" spans="2:8" hidden="1" x14ac:dyDescent="0.25">
      <c r="B910" s="90" t="e">
        <f>Gradesheet!#REF!</f>
        <v>#REF!</v>
      </c>
      <c r="C910" s="91" t="e">
        <f>(Gradesheet!#REF!)</f>
        <v>#REF!</v>
      </c>
      <c r="D910" s="92" t="e">
        <f>IF(Outline!$C$14&gt;0,Gradesheet!#REF!,Gradesheet!#REF!)</f>
        <v>#REF!</v>
      </c>
      <c r="E910" s="138" t="e">
        <f>IF(Outline!$C$14&gt;0,Gradesheet!#REF!,Gradesheet!#REF!)</f>
        <v>#REF!</v>
      </c>
      <c r="F910" s="138" t="e">
        <f>IF(Outline!$C$14&gt;0,Gradesheet!#REF!,"NA")</f>
        <v>#REF!</v>
      </c>
      <c r="G910" s="138" t="e">
        <f>IF(Outline!$C$14&gt;0,Gradesheet!#REF!,Gradesheet!#REF!)</f>
        <v>#REF!</v>
      </c>
      <c r="H910" s="139" t="e">
        <f t="shared" si="15"/>
        <v>#REF!</v>
      </c>
    </row>
    <row r="911" spans="2:8" hidden="1" x14ac:dyDescent="0.25">
      <c r="B911" s="90" t="e">
        <f>Gradesheet!#REF!</f>
        <v>#REF!</v>
      </c>
      <c r="C911" s="91" t="e">
        <f>(Gradesheet!#REF!)</f>
        <v>#REF!</v>
      </c>
      <c r="D911" s="92" t="e">
        <f>IF(Outline!$C$14&gt;0,Gradesheet!#REF!,Gradesheet!#REF!)</f>
        <v>#REF!</v>
      </c>
      <c r="E911" s="138" t="e">
        <f>IF(Outline!$C$14&gt;0,Gradesheet!#REF!,Gradesheet!#REF!)</f>
        <v>#REF!</v>
      </c>
      <c r="F911" s="138" t="e">
        <f>IF(Outline!$C$14&gt;0,Gradesheet!#REF!,"NA")</f>
        <v>#REF!</v>
      </c>
      <c r="G911" s="138" t="e">
        <f>IF(Outline!$C$14&gt;0,Gradesheet!#REF!,Gradesheet!#REF!)</f>
        <v>#REF!</v>
      </c>
      <c r="H911" s="139" t="e">
        <f t="shared" si="15"/>
        <v>#REF!</v>
      </c>
    </row>
    <row r="912" spans="2:8" hidden="1" x14ac:dyDescent="0.25">
      <c r="B912" s="90" t="e">
        <f>Gradesheet!#REF!</f>
        <v>#REF!</v>
      </c>
      <c r="C912" s="91" t="e">
        <f>(Gradesheet!#REF!)</f>
        <v>#REF!</v>
      </c>
      <c r="D912" s="92" t="e">
        <f>IF(Outline!$C$14&gt;0,Gradesheet!#REF!,Gradesheet!#REF!)</f>
        <v>#REF!</v>
      </c>
      <c r="E912" s="138" t="e">
        <f>IF(Outline!$C$14&gt;0,Gradesheet!#REF!,Gradesheet!#REF!)</f>
        <v>#REF!</v>
      </c>
      <c r="F912" s="138" t="e">
        <f>IF(Outline!$C$14&gt;0,Gradesheet!#REF!,"NA")</f>
        <v>#REF!</v>
      </c>
      <c r="G912" s="138" t="e">
        <f>IF(Outline!$C$14&gt;0,Gradesheet!#REF!,Gradesheet!#REF!)</f>
        <v>#REF!</v>
      </c>
      <c r="H912" s="139" t="e">
        <f t="shared" si="15"/>
        <v>#REF!</v>
      </c>
    </row>
    <row r="913" spans="2:8" hidden="1" x14ac:dyDescent="0.25">
      <c r="B913" s="90" t="e">
        <f>Gradesheet!#REF!</f>
        <v>#REF!</v>
      </c>
      <c r="C913" s="91" t="e">
        <f>(Gradesheet!#REF!)</f>
        <v>#REF!</v>
      </c>
      <c r="D913" s="92" t="e">
        <f>IF(Outline!$C$14&gt;0,Gradesheet!#REF!,Gradesheet!#REF!)</f>
        <v>#REF!</v>
      </c>
      <c r="E913" s="138" t="e">
        <f>IF(Outline!$C$14&gt;0,Gradesheet!#REF!,Gradesheet!#REF!)</f>
        <v>#REF!</v>
      </c>
      <c r="F913" s="138" t="e">
        <f>IF(Outline!$C$14&gt;0,Gradesheet!#REF!,"NA")</f>
        <v>#REF!</v>
      </c>
      <c r="G913" s="138" t="e">
        <f>IF(Outline!$C$14&gt;0,Gradesheet!#REF!,Gradesheet!#REF!)</f>
        <v>#REF!</v>
      </c>
      <c r="H913" s="139" t="e">
        <f t="shared" si="15"/>
        <v>#REF!</v>
      </c>
    </row>
    <row r="914" spans="2:8" hidden="1" x14ac:dyDescent="0.25">
      <c r="B914" s="90" t="e">
        <f>Gradesheet!#REF!</f>
        <v>#REF!</v>
      </c>
      <c r="C914" s="91" t="e">
        <f>(Gradesheet!#REF!)</f>
        <v>#REF!</v>
      </c>
      <c r="D914" s="92" t="e">
        <f>IF(Outline!$C$14&gt;0,Gradesheet!#REF!,Gradesheet!#REF!)</f>
        <v>#REF!</v>
      </c>
      <c r="E914" s="138" t="e">
        <f>IF(Outline!$C$14&gt;0,Gradesheet!#REF!,Gradesheet!#REF!)</f>
        <v>#REF!</v>
      </c>
      <c r="F914" s="138" t="e">
        <f>IF(Outline!$C$14&gt;0,Gradesheet!#REF!,"NA")</f>
        <v>#REF!</v>
      </c>
      <c r="G914" s="138" t="e">
        <f>IF(Outline!$C$14&gt;0,Gradesheet!#REF!,Gradesheet!#REF!)</f>
        <v>#REF!</v>
      </c>
      <c r="H914" s="139" t="e">
        <f t="shared" si="15"/>
        <v>#REF!</v>
      </c>
    </row>
    <row r="915" spans="2:8" hidden="1" x14ac:dyDescent="0.25">
      <c r="B915" s="90" t="e">
        <f>Gradesheet!#REF!</f>
        <v>#REF!</v>
      </c>
      <c r="C915" s="91" t="e">
        <f>(Gradesheet!#REF!)</f>
        <v>#REF!</v>
      </c>
      <c r="D915" s="92" t="e">
        <f>IF(Outline!$C$14&gt;0,Gradesheet!#REF!,Gradesheet!#REF!)</f>
        <v>#REF!</v>
      </c>
      <c r="E915" s="138" t="e">
        <f>IF(Outline!$C$14&gt;0,Gradesheet!#REF!,Gradesheet!#REF!)</f>
        <v>#REF!</v>
      </c>
      <c r="F915" s="138" t="e">
        <f>IF(Outline!$C$14&gt;0,Gradesheet!#REF!,"NA")</f>
        <v>#REF!</v>
      </c>
      <c r="G915" s="138" t="e">
        <f>IF(Outline!$C$14&gt;0,Gradesheet!#REF!,Gradesheet!#REF!)</f>
        <v>#REF!</v>
      </c>
      <c r="H915" s="139" t="e">
        <f t="shared" si="15"/>
        <v>#REF!</v>
      </c>
    </row>
    <row r="916" spans="2:8" hidden="1" x14ac:dyDescent="0.25">
      <c r="B916" s="90" t="e">
        <f>Gradesheet!#REF!</f>
        <v>#REF!</v>
      </c>
      <c r="C916" s="91" t="e">
        <f>(Gradesheet!#REF!)</f>
        <v>#REF!</v>
      </c>
      <c r="D916" s="92" t="e">
        <f>IF(Outline!$C$14&gt;0,Gradesheet!#REF!,Gradesheet!#REF!)</f>
        <v>#REF!</v>
      </c>
      <c r="E916" s="138" t="e">
        <f>IF(Outline!$C$14&gt;0,Gradesheet!#REF!,Gradesheet!#REF!)</f>
        <v>#REF!</v>
      </c>
      <c r="F916" s="138" t="e">
        <f>IF(Outline!$C$14&gt;0,Gradesheet!#REF!,"NA")</f>
        <v>#REF!</v>
      </c>
      <c r="G916" s="138" t="e">
        <f>IF(Outline!$C$14&gt;0,Gradesheet!#REF!,Gradesheet!#REF!)</f>
        <v>#REF!</v>
      </c>
      <c r="H916" s="139" t="e">
        <f t="shared" si="15"/>
        <v>#REF!</v>
      </c>
    </row>
    <row r="917" spans="2:8" hidden="1" x14ac:dyDescent="0.25">
      <c r="B917" s="90" t="e">
        <f>Gradesheet!#REF!</f>
        <v>#REF!</v>
      </c>
      <c r="C917" s="91" t="e">
        <f>(Gradesheet!#REF!)</f>
        <v>#REF!</v>
      </c>
      <c r="D917" s="92" t="e">
        <f>IF(Outline!$C$14&gt;0,Gradesheet!#REF!,Gradesheet!#REF!)</f>
        <v>#REF!</v>
      </c>
      <c r="E917" s="138" t="e">
        <f>IF(Outline!$C$14&gt;0,Gradesheet!#REF!,Gradesheet!#REF!)</f>
        <v>#REF!</v>
      </c>
      <c r="F917" s="138" t="e">
        <f>IF(Outline!$C$14&gt;0,Gradesheet!#REF!,"NA")</f>
        <v>#REF!</v>
      </c>
      <c r="G917" s="138" t="e">
        <f>IF(Outline!$C$14&gt;0,Gradesheet!#REF!,Gradesheet!#REF!)</f>
        <v>#REF!</v>
      </c>
      <c r="H917" s="139" t="e">
        <f t="shared" si="15"/>
        <v>#REF!</v>
      </c>
    </row>
    <row r="918" spans="2:8" hidden="1" x14ac:dyDescent="0.25">
      <c r="B918" s="90" t="e">
        <f>Gradesheet!#REF!</f>
        <v>#REF!</v>
      </c>
      <c r="C918" s="91" t="e">
        <f>(Gradesheet!#REF!)</f>
        <v>#REF!</v>
      </c>
      <c r="D918" s="92" t="e">
        <f>IF(Outline!$C$14&gt;0,Gradesheet!#REF!,Gradesheet!#REF!)</f>
        <v>#REF!</v>
      </c>
      <c r="E918" s="138" t="e">
        <f>IF(Outline!$C$14&gt;0,Gradesheet!#REF!,Gradesheet!#REF!)</f>
        <v>#REF!</v>
      </c>
      <c r="F918" s="138" t="e">
        <f>IF(Outline!$C$14&gt;0,Gradesheet!#REF!,"NA")</f>
        <v>#REF!</v>
      </c>
      <c r="G918" s="138" t="e">
        <f>IF(Outline!$C$14&gt;0,Gradesheet!#REF!,Gradesheet!#REF!)</f>
        <v>#REF!</v>
      </c>
      <c r="H918" s="139" t="e">
        <f t="shared" si="15"/>
        <v>#REF!</v>
      </c>
    </row>
    <row r="919" spans="2:8" hidden="1" x14ac:dyDescent="0.25">
      <c r="B919" s="90" t="e">
        <f>Gradesheet!#REF!</f>
        <v>#REF!</v>
      </c>
      <c r="C919" s="91" t="e">
        <f>(Gradesheet!#REF!)</f>
        <v>#REF!</v>
      </c>
      <c r="D919" s="92" t="e">
        <f>IF(Outline!$C$14&gt;0,Gradesheet!#REF!,Gradesheet!#REF!)</f>
        <v>#REF!</v>
      </c>
      <c r="E919" s="138" t="e">
        <f>IF(Outline!$C$14&gt;0,Gradesheet!#REF!,Gradesheet!#REF!)</f>
        <v>#REF!</v>
      </c>
      <c r="F919" s="138" t="e">
        <f>IF(Outline!$C$14&gt;0,Gradesheet!#REF!,"NA")</f>
        <v>#REF!</v>
      </c>
      <c r="G919" s="138" t="e">
        <f>IF(Outline!$C$14&gt;0,Gradesheet!#REF!,Gradesheet!#REF!)</f>
        <v>#REF!</v>
      </c>
      <c r="H919" s="139" t="e">
        <f t="shared" si="15"/>
        <v>#REF!</v>
      </c>
    </row>
    <row r="920" spans="2:8" hidden="1" x14ac:dyDescent="0.25">
      <c r="B920" s="90" t="e">
        <f>Gradesheet!#REF!</f>
        <v>#REF!</v>
      </c>
      <c r="C920" s="91" t="e">
        <f>(Gradesheet!#REF!)</f>
        <v>#REF!</v>
      </c>
      <c r="D920" s="92" t="e">
        <f>IF(Outline!$C$14&gt;0,Gradesheet!#REF!,Gradesheet!#REF!)</f>
        <v>#REF!</v>
      </c>
      <c r="E920" s="138" t="e">
        <f>IF(Outline!$C$14&gt;0,Gradesheet!#REF!,Gradesheet!#REF!)</f>
        <v>#REF!</v>
      </c>
      <c r="F920" s="138" t="e">
        <f>IF(Outline!$C$14&gt;0,Gradesheet!#REF!,"NA")</f>
        <v>#REF!</v>
      </c>
      <c r="G920" s="138" t="e">
        <f>IF(Outline!$C$14&gt;0,Gradesheet!#REF!,Gradesheet!#REF!)</f>
        <v>#REF!</v>
      </c>
      <c r="H920" s="139" t="e">
        <f t="shared" si="15"/>
        <v>#REF!</v>
      </c>
    </row>
    <row r="921" spans="2:8" hidden="1" x14ac:dyDescent="0.25">
      <c r="B921" s="90" t="e">
        <f>Gradesheet!#REF!</f>
        <v>#REF!</v>
      </c>
      <c r="C921" s="91" t="e">
        <f>(Gradesheet!#REF!)</f>
        <v>#REF!</v>
      </c>
      <c r="D921" s="92" t="e">
        <f>IF(Outline!$C$14&gt;0,Gradesheet!#REF!,Gradesheet!#REF!)</f>
        <v>#REF!</v>
      </c>
      <c r="E921" s="138" t="e">
        <f>IF(Outline!$C$14&gt;0,Gradesheet!#REF!,Gradesheet!#REF!)</f>
        <v>#REF!</v>
      </c>
      <c r="F921" s="138" t="e">
        <f>IF(Outline!$C$14&gt;0,Gradesheet!#REF!,"NA")</f>
        <v>#REF!</v>
      </c>
      <c r="G921" s="138" t="e">
        <f>IF(Outline!$C$14&gt;0,Gradesheet!#REF!,Gradesheet!#REF!)</f>
        <v>#REF!</v>
      </c>
      <c r="H921" s="139" t="e">
        <f t="shared" si="15"/>
        <v>#REF!</v>
      </c>
    </row>
    <row r="922" spans="2:8" hidden="1" x14ac:dyDescent="0.25">
      <c r="B922" s="90" t="e">
        <f>Gradesheet!#REF!</f>
        <v>#REF!</v>
      </c>
      <c r="C922" s="91" t="e">
        <f>(Gradesheet!#REF!)</f>
        <v>#REF!</v>
      </c>
      <c r="D922" s="92" t="e">
        <f>IF(Outline!$C$14&gt;0,Gradesheet!#REF!,Gradesheet!#REF!)</f>
        <v>#REF!</v>
      </c>
      <c r="E922" s="138" t="e">
        <f>IF(Outline!$C$14&gt;0,Gradesheet!#REF!,Gradesheet!#REF!)</f>
        <v>#REF!</v>
      </c>
      <c r="F922" s="138" t="e">
        <f>IF(Outline!$C$14&gt;0,Gradesheet!#REF!,"NA")</f>
        <v>#REF!</v>
      </c>
      <c r="G922" s="138" t="e">
        <f>IF(Outline!$C$14&gt;0,Gradesheet!#REF!,Gradesheet!#REF!)</f>
        <v>#REF!</v>
      </c>
      <c r="H922" s="139" t="e">
        <f t="shared" si="15"/>
        <v>#REF!</v>
      </c>
    </row>
    <row r="923" spans="2:8" hidden="1" x14ac:dyDescent="0.25">
      <c r="B923" s="90" t="e">
        <f>Gradesheet!#REF!</f>
        <v>#REF!</v>
      </c>
      <c r="C923" s="91" t="e">
        <f>(Gradesheet!#REF!)</f>
        <v>#REF!</v>
      </c>
      <c r="D923" s="92" t="e">
        <f>IF(Outline!$C$14&gt;0,Gradesheet!#REF!,Gradesheet!#REF!)</f>
        <v>#REF!</v>
      </c>
      <c r="E923" s="138" t="e">
        <f>IF(Outline!$C$14&gt;0,Gradesheet!#REF!,Gradesheet!#REF!)</f>
        <v>#REF!</v>
      </c>
      <c r="F923" s="138" t="e">
        <f>IF(Outline!$C$14&gt;0,Gradesheet!#REF!,"NA")</f>
        <v>#REF!</v>
      </c>
      <c r="G923" s="138" t="e">
        <f>IF(Outline!$C$14&gt;0,Gradesheet!#REF!,Gradesheet!#REF!)</f>
        <v>#REF!</v>
      </c>
      <c r="H923" s="139" t="e">
        <f t="shared" si="15"/>
        <v>#REF!</v>
      </c>
    </row>
    <row r="924" spans="2:8" hidden="1" x14ac:dyDescent="0.25">
      <c r="B924" s="90" t="e">
        <f>Gradesheet!#REF!</f>
        <v>#REF!</v>
      </c>
      <c r="C924" s="91" t="e">
        <f>(Gradesheet!#REF!)</f>
        <v>#REF!</v>
      </c>
      <c r="D924" s="92" t="e">
        <f>IF(Outline!$C$14&gt;0,Gradesheet!#REF!,Gradesheet!#REF!)</f>
        <v>#REF!</v>
      </c>
      <c r="E924" s="138" t="e">
        <f>IF(Outline!$C$14&gt;0,Gradesheet!#REF!,Gradesheet!#REF!)</f>
        <v>#REF!</v>
      </c>
      <c r="F924" s="138" t="e">
        <f>IF(Outline!$C$14&gt;0,Gradesheet!#REF!,"NA")</f>
        <v>#REF!</v>
      </c>
      <c r="G924" s="138" t="e">
        <f>IF(Outline!$C$14&gt;0,Gradesheet!#REF!,Gradesheet!#REF!)</f>
        <v>#REF!</v>
      </c>
      <c r="H924" s="139" t="e">
        <f t="shared" si="15"/>
        <v>#REF!</v>
      </c>
    </row>
    <row r="925" spans="2:8" hidden="1" x14ac:dyDescent="0.25">
      <c r="B925" s="90" t="e">
        <f>Gradesheet!#REF!</f>
        <v>#REF!</v>
      </c>
      <c r="C925" s="91" t="e">
        <f>(Gradesheet!#REF!)</f>
        <v>#REF!</v>
      </c>
      <c r="D925" s="92" t="e">
        <f>IF(Outline!$C$14&gt;0,Gradesheet!#REF!,Gradesheet!#REF!)</f>
        <v>#REF!</v>
      </c>
      <c r="E925" s="138" t="e">
        <f>IF(Outline!$C$14&gt;0,Gradesheet!#REF!,Gradesheet!#REF!)</f>
        <v>#REF!</v>
      </c>
      <c r="F925" s="138" t="e">
        <f>IF(Outline!$C$14&gt;0,Gradesheet!#REF!,"NA")</f>
        <v>#REF!</v>
      </c>
      <c r="G925" s="138" t="e">
        <f>IF(Outline!$C$14&gt;0,Gradesheet!#REF!,Gradesheet!#REF!)</f>
        <v>#REF!</v>
      </c>
      <c r="H925" s="139" t="e">
        <f t="shared" si="15"/>
        <v>#REF!</v>
      </c>
    </row>
    <row r="926" spans="2:8" hidden="1" x14ac:dyDescent="0.25">
      <c r="B926" s="90" t="e">
        <f>Gradesheet!#REF!</f>
        <v>#REF!</v>
      </c>
      <c r="C926" s="91" t="e">
        <f>(Gradesheet!#REF!)</f>
        <v>#REF!</v>
      </c>
      <c r="D926" s="92" t="e">
        <f>IF(Outline!$C$14&gt;0,Gradesheet!#REF!,Gradesheet!#REF!)</f>
        <v>#REF!</v>
      </c>
      <c r="E926" s="138" t="e">
        <f>IF(Outline!$C$14&gt;0,Gradesheet!#REF!,Gradesheet!#REF!)</f>
        <v>#REF!</v>
      </c>
      <c r="F926" s="138" t="e">
        <f>IF(Outline!$C$14&gt;0,Gradesheet!#REF!,"NA")</f>
        <v>#REF!</v>
      </c>
      <c r="G926" s="138" t="e">
        <f>IF(Outline!$C$14&gt;0,Gradesheet!#REF!,Gradesheet!#REF!)</f>
        <v>#REF!</v>
      </c>
      <c r="H926" s="139" t="e">
        <f t="shared" si="15"/>
        <v>#REF!</v>
      </c>
    </row>
    <row r="927" spans="2:8" hidden="1" x14ac:dyDescent="0.25">
      <c r="B927" s="90" t="e">
        <f>Gradesheet!#REF!</f>
        <v>#REF!</v>
      </c>
      <c r="C927" s="91" t="e">
        <f>(Gradesheet!#REF!)</f>
        <v>#REF!</v>
      </c>
      <c r="D927" s="92" t="e">
        <f>IF(Outline!$C$14&gt;0,Gradesheet!#REF!,Gradesheet!#REF!)</f>
        <v>#REF!</v>
      </c>
      <c r="E927" s="138" t="e">
        <f>IF(Outline!$C$14&gt;0,Gradesheet!#REF!,Gradesheet!#REF!)</f>
        <v>#REF!</v>
      </c>
      <c r="F927" s="138" t="e">
        <f>IF(Outline!$C$14&gt;0,Gradesheet!#REF!,"NA")</f>
        <v>#REF!</v>
      </c>
      <c r="G927" s="138" t="e">
        <f>IF(Outline!$C$14&gt;0,Gradesheet!#REF!,Gradesheet!#REF!)</f>
        <v>#REF!</v>
      </c>
      <c r="H927" s="139" t="e">
        <f t="shared" si="15"/>
        <v>#REF!</v>
      </c>
    </row>
    <row r="928" spans="2:8" hidden="1" x14ac:dyDescent="0.25">
      <c r="B928" s="90" t="e">
        <f>Gradesheet!#REF!</f>
        <v>#REF!</v>
      </c>
      <c r="C928" s="91" t="e">
        <f>(Gradesheet!#REF!)</f>
        <v>#REF!</v>
      </c>
      <c r="D928" s="92" t="e">
        <f>IF(Outline!$C$14&gt;0,Gradesheet!#REF!,Gradesheet!#REF!)</f>
        <v>#REF!</v>
      </c>
      <c r="E928" s="138" t="e">
        <f>IF(Outline!$C$14&gt;0,Gradesheet!#REF!,Gradesheet!#REF!)</f>
        <v>#REF!</v>
      </c>
      <c r="F928" s="138" t="e">
        <f>IF(Outline!$C$14&gt;0,Gradesheet!#REF!,"NA")</f>
        <v>#REF!</v>
      </c>
      <c r="G928" s="138" t="e">
        <f>IF(Outline!$C$14&gt;0,Gradesheet!#REF!,Gradesheet!#REF!)</f>
        <v>#REF!</v>
      </c>
      <c r="H928" s="139" t="e">
        <f t="shared" si="15"/>
        <v>#REF!</v>
      </c>
    </row>
    <row r="929" spans="2:8" hidden="1" x14ac:dyDescent="0.25">
      <c r="B929" s="90" t="e">
        <f>Gradesheet!#REF!</f>
        <v>#REF!</v>
      </c>
      <c r="C929" s="91" t="e">
        <f>(Gradesheet!#REF!)</f>
        <v>#REF!</v>
      </c>
      <c r="D929" s="92" t="e">
        <f>IF(Outline!$C$14&gt;0,Gradesheet!#REF!,Gradesheet!#REF!)</f>
        <v>#REF!</v>
      </c>
      <c r="E929" s="138" t="e">
        <f>IF(Outline!$C$14&gt;0,Gradesheet!#REF!,Gradesheet!#REF!)</f>
        <v>#REF!</v>
      </c>
      <c r="F929" s="138" t="e">
        <f>IF(Outline!$C$14&gt;0,Gradesheet!#REF!,"NA")</f>
        <v>#REF!</v>
      </c>
      <c r="G929" s="138" t="e">
        <f>IF(Outline!$C$14&gt;0,Gradesheet!#REF!,Gradesheet!#REF!)</f>
        <v>#REF!</v>
      </c>
      <c r="H929" s="139" t="e">
        <f t="shared" si="15"/>
        <v>#REF!</v>
      </c>
    </row>
    <row r="930" spans="2:8" hidden="1" x14ac:dyDescent="0.25">
      <c r="B930" s="90" t="e">
        <f>Gradesheet!#REF!</f>
        <v>#REF!</v>
      </c>
      <c r="C930" s="91" t="e">
        <f>(Gradesheet!#REF!)</f>
        <v>#REF!</v>
      </c>
      <c r="D930" s="92" t="e">
        <f>IF(Outline!$C$14&gt;0,Gradesheet!#REF!,Gradesheet!#REF!)</f>
        <v>#REF!</v>
      </c>
      <c r="E930" s="138" t="e">
        <f>IF(Outline!$C$14&gt;0,Gradesheet!#REF!,Gradesheet!#REF!)</f>
        <v>#REF!</v>
      </c>
      <c r="F930" s="138" t="e">
        <f>IF(Outline!$C$14&gt;0,Gradesheet!#REF!,"NA")</f>
        <v>#REF!</v>
      </c>
      <c r="G930" s="138" t="e">
        <f>IF(Outline!$C$14&gt;0,Gradesheet!#REF!,Gradesheet!#REF!)</f>
        <v>#REF!</v>
      </c>
      <c r="H930" s="139" t="e">
        <f t="shared" si="15"/>
        <v>#REF!</v>
      </c>
    </row>
    <row r="931" spans="2:8" hidden="1" x14ac:dyDescent="0.25">
      <c r="B931" s="90" t="e">
        <f>Gradesheet!#REF!</f>
        <v>#REF!</v>
      </c>
      <c r="C931" s="91" t="e">
        <f>(Gradesheet!#REF!)</f>
        <v>#REF!</v>
      </c>
      <c r="D931" s="92" t="e">
        <f>IF(Outline!$C$14&gt;0,Gradesheet!#REF!,Gradesheet!#REF!)</f>
        <v>#REF!</v>
      </c>
      <c r="E931" s="138" t="e">
        <f>IF(Outline!$C$14&gt;0,Gradesheet!#REF!,Gradesheet!#REF!)</f>
        <v>#REF!</v>
      </c>
      <c r="F931" s="138" t="e">
        <f>IF(Outline!$C$14&gt;0,Gradesheet!#REF!,"NA")</f>
        <v>#REF!</v>
      </c>
      <c r="G931" s="138" t="e">
        <f>IF(Outline!$C$14&gt;0,Gradesheet!#REF!,Gradesheet!#REF!)</f>
        <v>#REF!</v>
      </c>
      <c r="H931" s="139" t="e">
        <f t="shared" si="15"/>
        <v>#REF!</v>
      </c>
    </row>
    <row r="932" spans="2:8" hidden="1" x14ac:dyDescent="0.25">
      <c r="B932" s="90" t="e">
        <f>Gradesheet!#REF!</f>
        <v>#REF!</v>
      </c>
      <c r="C932" s="91" t="e">
        <f>(Gradesheet!#REF!)</f>
        <v>#REF!</v>
      </c>
      <c r="D932" s="92" t="e">
        <f>IF(Outline!$C$14&gt;0,Gradesheet!#REF!,Gradesheet!#REF!)</f>
        <v>#REF!</v>
      </c>
      <c r="E932" s="138" t="e">
        <f>IF(Outline!$C$14&gt;0,Gradesheet!#REF!,Gradesheet!#REF!)</f>
        <v>#REF!</v>
      </c>
      <c r="F932" s="138" t="e">
        <f>IF(Outline!$C$14&gt;0,Gradesheet!#REF!,"NA")</f>
        <v>#REF!</v>
      </c>
      <c r="G932" s="138" t="e">
        <f>IF(Outline!$C$14&gt;0,Gradesheet!#REF!,Gradesheet!#REF!)</f>
        <v>#REF!</v>
      </c>
      <c r="H932" s="139" t="e">
        <f t="shared" si="15"/>
        <v>#REF!</v>
      </c>
    </row>
    <row r="933" spans="2:8" hidden="1" x14ac:dyDescent="0.25">
      <c r="B933" s="90" t="e">
        <f>Gradesheet!#REF!</f>
        <v>#REF!</v>
      </c>
      <c r="C933" s="91" t="e">
        <f>(Gradesheet!#REF!)</f>
        <v>#REF!</v>
      </c>
      <c r="D933" s="92" t="e">
        <f>IF(Outline!$C$14&gt;0,Gradesheet!#REF!,Gradesheet!#REF!)</f>
        <v>#REF!</v>
      </c>
      <c r="E933" s="138" t="e">
        <f>IF(Outline!$C$14&gt;0,Gradesheet!#REF!,Gradesheet!#REF!)</f>
        <v>#REF!</v>
      </c>
      <c r="F933" s="138" t="e">
        <f>IF(Outline!$C$14&gt;0,Gradesheet!#REF!,"NA")</f>
        <v>#REF!</v>
      </c>
      <c r="G933" s="138" t="e">
        <f>IF(Outline!$C$14&gt;0,Gradesheet!#REF!,Gradesheet!#REF!)</f>
        <v>#REF!</v>
      </c>
      <c r="H933" s="139" t="e">
        <f t="shared" si="15"/>
        <v>#REF!</v>
      </c>
    </row>
    <row r="934" spans="2:8" hidden="1" x14ac:dyDescent="0.25">
      <c r="B934" s="90" t="e">
        <f>Gradesheet!#REF!</f>
        <v>#REF!</v>
      </c>
      <c r="C934" s="91" t="e">
        <f>(Gradesheet!#REF!)</f>
        <v>#REF!</v>
      </c>
      <c r="D934" s="92" t="e">
        <f>IF(Outline!$C$14&gt;0,Gradesheet!#REF!,Gradesheet!#REF!)</f>
        <v>#REF!</v>
      </c>
      <c r="E934" s="138" t="e">
        <f>IF(Outline!$C$14&gt;0,Gradesheet!#REF!,Gradesheet!#REF!)</f>
        <v>#REF!</v>
      </c>
      <c r="F934" s="138" t="e">
        <f>IF(Outline!$C$14&gt;0,Gradesheet!#REF!,"NA")</f>
        <v>#REF!</v>
      </c>
      <c r="G934" s="138" t="e">
        <f>IF(Outline!$C$14&gt;0,Gradesheet!#REF!,Gradesheet!#REF!)</f>
        <v>#REF!</v>
      </c>
      <c r="H934" s="139" t="e">
        <f t="shared" si="15"/>
        <v>#REF!</v>
      </c>
    </row>
    <row r="935" spans="2:8" hidden="1" x14ac:dyDescent="0.25">
      <c r="B935" s="90" t="e">
        <f>Gradesheet!#REF!</f>
        <v>#REF!</v>
      </c>
      <c r="C935" s="91" t="e">
        <f>(Gradesheet!#REF!)</f>
        <v>#REF!</v>
      </c>
      <c r="D935" s="92" t="e">
        <f>IF(Outline!$C$14&gt;0,Gradesheet!#REF!,Gradesheet!#REF!)</f>
        <v>#REF!</v>
      </c>
      <c r="E935" s="138" t="e">
        <f>IF(Outline!$C$14&gt;0,Gradesheet!#REF!,Gradesheet!#REF!)</f>
        <v>#REF!</v>
      </c>
      <c r="F935" s="138" t="e">
        <f>IF(Outline!$C$14&gt;0,Gradesheet!#REF!,"NA")</f>
        <v>#REF!</v>
      </c>
      <c r="G935" s="138" t="e">
        <f>IF(Outline!$C$14&gt;0,Gradesheet!#REF!,Gradesheet!#REF!)</f>
        <v>#REF!</v>
      </c>
      <c r="H935" s="139" t="e">
        <f t="shared" si="15"/>
        <v>#REF!</v>
      </c>
    </row>
    <row r="936" spans="2:8" hidden="1" x14ac:dyDescent="0.25">
      <c r="B936" s="90" t="e">
        <f>Gradesheet!#REF!</f>
        <v>#REF!</v>
      </c>
      <c r="C936" s="91" t="e">
        <f>(Gradesheet!#REF!)</f>
        <v>#REF!</v>
      </c>
      <c r="D936" s="92" t="e">
        <f>IF(Outline!$C$14&gt;0,Gradesheet!#REF!,Gradesheet!#REF!)</f>
        <v>#REF!</v>
      </c>
      <c r="E936" s="138" t="e">
        <f>IF(Outline!$C$14&gt;0,Gradesheet!#REF!,Gradesheet!#REF!)</f>
        <v>#REF!</v>
      </c>
      <c r="F936" s="138" t="e">
        <f>IF(Outline!$C$14&gt;0,Gradesheet!#REF!,"NA")</f>
        <v>#REF!</v>
      </c>
      <c r="G936" s="138" t="e">
        <f>IF(Outline!$C$14&gt;0,Gradesheet!#REF!,Gradesheet!#REF!)</f>
        <v>#REF!</v>
      </c>
      <c r="H936" s="139" t="e">
        <f t="shared" si="15"/>
        <v>#REF!</v>
      </c>
    </row>
    <row r="937" spans="2:8" hidden="1" x14ac:dyDescent="0.25">
      <c r="B937" s="90" t="e">
        <f>Gradesheet!#REF!</f>
        <v>#REF!</v>
      </c>
      <c r="C937" s="91" t="e">
        <f>(Gradesheet!#REF!)</f>
        <v>#REF!</v>
      </c>
      <c r="D937" s="92" t="e">
        <f>IF(Outline!$C$14&gt;0,Gradesheet!#REF!,Gradesheet!#REF!)</f>
        <v>#REF!</v>
      </c>
      <c r="E937" s="138" t="e">
        <f>IF(Outline!$C$14&gt;0,Gradesheet!#REF!,Gradesheet!#REF!)</f>
        <v>#REF!</v>
      </c>
      <c r="F937" s="138" t="e">
        <f>IF(Outline!$C$14&gt;0,Gradesheet!#REF!,"NA")</f>
        <v>#REF!</v>
      </c>
      <c r="G937" s="138" t="e">
        <f>IF(Outline!$C$14&gt;0,Gradesheet!#REF!,Gradesheet!#REF!)</f>
        <v>#REF!</v>
      </c>
      <c r="H937" s="139" t="e">
        <f t="shared" si="15"/>
        <v>#REF!</v>
      </c>
    </row>
    <row r="938" spans="2:8" hidden="1" x14ac:dyDescent="0.25">
      <c r="B938" s="90" t="e">
        <f>Gradesheet!#REF!</f>
        <v>#REF!</v>
      </c>
      <c r="C938" s="91" t="e">
        <f>(Gradesheet!#REF!)</f>
        <v>#REF!</v>
      </c>
      <c r="D938" s="92" t="e">
        <f>IF(Outline!$C$14&gt;0,Gradesheet!#REF!,Gradesheet!#REF!)</f>
        <v>#REF!</v>
      </c>
      <c r="E938" s="138" t="e">
        <f>IF(Outline!$C$14&gt;0,Gradesheet!#REF!,Gradesheet!#REF!)</f>
        <v>#REF!</v>
      </c>
      <c r="F938" s="138" t="e">
        <f>IF(Outline!$C$14&gt;0,Gradesheet!#REF!,"NA")</f>
        <v>#REF!</v>
      </c>
      <c r="G938" s="138" t="e">
        <f>IF(Outline!$C$14&gt;0,Gradesheet!#REF!,Gradesheet!#REF!)</f>
        <v>#REF!</v>
      </c>
      <c r="H938" s="139" t="e">
        <f t="shared" si="15"/>
        <v>#REF!</v>
      </c>
    </row>
    <row r="939" spans="2:8" hidden="1" x14ac:dyDescent="0.25">
      <c r="B939" s="90" t="e">
        <f>Gradesheet!#REF!</f>
        <v>#REF!</v>
      </c>
      <c r="C939" s="91" t="e">
        <f>(Gradesheet!#REF!)</f>
        <v>#REF!</v>
      </c>
      <c r="D939" s="92" t="e">
        <f>IF(Outline!$C$14&gt;0,Gradesheet!#REF!,Gradesheet!#REF!)</f>
        <v>#REF!</v>
      </c>
      <c r="E939" s="138" t="e">
        <f>IF(Outline!$C$14&gt;0,Gradesheet!#REF!,Gradesheet!#REF!)</f>
        <v>#REF!</v>
      </c>
      <c r="F939" s="138" t="e">
        <f>IF(Outline!$C$14&gt;0,Gradesheet!#REF!,"NA")</f>
        <v>#REF!</v>
      </c>
      <c r="G939" s="138" t="e">
        <f>IF(Outline!$C$14&gt;0,Gradesheet!#REF!,Gradesheet!#REF!)</f>
        <v>#REF!</v>
      </c>
      <c r="H939" s="139" t="e">
        <f t="shared" si="15"/>
        <v>#REF!</v>
      </c>
    </row>
    <row r="940" spans="2:8" hidden="1" x14ac:dyDescent="0.25">
      <c r="B940" s="90" t="e">
        <f>Gradesheet!#REF!</f>
        <v>#REF!</v>
      </c>
      <c r="C940" s="91" t="e">
        <f>(Gradesheet!#REF!)</f>
        <v>#REF!</v>
      </c>
      <c r="D940" s="92" t="e">
        <f>IF(Outline!$C$14&gt;0,Gradesheet!#REF!,Gradesheet!#REF!)</f>
        <v>#REF!</v>
      </c>
      <c r="E940" s="138" t="e">
        <f>IF(Outline!$C$14&gt;0,Gradesheet!#REF!,Gradesheet!#REF!)</f>
        <v>#REF!</v>
      </c>
      <c r="F940" s="138" t="e">
        <f>IF(Outline!$C$14&gt;0,Gradesheet!#REF!,"NA")</f>
        <v>#REF!</v>
      </c>
      <c r="G940" s="138" t="e">
        <f>IF(Outline!$C$14&gt;0,Gradesheet!#REF!,Gradesheet!#REF!)</f>
        <v>#REF!</v>
      </c>
      <c r="H940" s="139" t="e">
        <f t="shared" si="15"/>
        <v>#REF!</v>
      </c>
    </row>
    <row r="941" spans="2:8" hidden="1" x14ac:dyDescent="0.25">
      <c r="B941" s="90" t="e">
        <f>Gradesheet!#REF!</f>
        <v>#REF!</v>
      </c>
      <c r="C941" s="91" t="e">
        <f>(Gradesheet!#REF!)</f>
        <v>#REF!</v>
      </c>
      <c r="D941" s="92" t="e">
        <f>IF(Outline!$C$14&gt;0,Gradesheet!#REF!,Gradesheet!#REF!)</f>
        <v>#REF!</v>
      </c>
      <c r="E941" s="138" t="e">
        <f>IF(Outline!$C$14&gt;0,Gradesheet!#REF!,Gradesheet!#REF!)</f>
        <v>#REF!</v>
      </c>
      <c r="F941" s="138" t="e">
        <f>IF(Outline!$C$14&gt;0,Gradesheet!#REF!,"NA")</f>
        <v>#REF!</v>
      </c>
      <c r="G941" s="138" t="e">
        <f>IF(Outline!$C$14&gt;0,Gradesheet!#REF!,Gradesheet!#REF!)</f>
        <v>#REF!</v>
      </c>
      <c r="H941" s="139" t="e">
        <f t="shared" si="15"/>
        <v>#REF!</v>
      </c>
    </row>
    <row r="942" spans="2:8" hidden="1" x14ac:dyDescent="0.25">
      <c r="B942" s="90" t="e">
        <f>Gradesheet!#REF!</f>
        <v>#REF!</v>
      </c>
      <c r="C942" s="91" t="e">
        <f>(Gradesheet!#REF!)</f>
        <v>#REF!</v>
      </c>
      <c r="D942" s="92" t="e">
        <f>IF(Outline!$C$14&gt;0,Gradesheet!#REF!,Gradesheet!#REF!)</f>
        <v>#REF!</v>
      </c>
      <c r="E942" s="138" t="e">
        <f>IF(Outline!$C$14&gt;0,Gradesheet!#REF!,Gradesheet!#REF!)</f>
        <v>#REF!</v>
      </c>
      <c r="F942" s="138" t="e">
        <f>IF(Outline!$C$14&gt;0,Gradesheet!#REF!,"NA")</f>
        <v>#REF!</v>
      </c>
      <c r="G942" s="138" t="e">
        <f>IF(Outline!$C$14&gt;0,Gradesheet!#REF!,Gradesheet!#REF!)</f>
        <v>#REF!</v>
      </c>
      <c r="H942" s="139" t="e">
        <f t="shared" si="15"/>
        <v>#REF!</v>
      </c>
    </row>
    <row r="943" spans="2:8" hidden="1" x14ac:dyDescent="0.25">
      <c r="B943" s="90" t="e">
        <f>Gradesheet!#REF!</f>
        <v>#REF!</v>
      </c>
      <c r="C943" s="91" t="e">
        <f>(Gradesheet!#REF!)</f>
        <v>#REF!</v>
      </c>
      <c r="D943" s="92" t="e">
        <f>IF(Outline!$C$14&gt;0,Gradesheet!#REF!,Gradesheet!#REF!)</f>
        <v>#REF!</v>
      </c>
      <c r="E943" s="138" t="e">
        <f>IF(Outline!$C$14&gt;0,Gradesheet!#REF!,Gradesheet!#REF!)</f>
        <v>#REF!</v>
      </c>
      <c r="F943" s="138" t="e">
        <f>IF(Outline!$C$14&gt;0,Gradesheet!#REF!,"NA")</f>
        <v>#REF!</v>
      </c>
      <c r="G943" s="138" t="e">
        <f>IF(Outline!$C$14&gt;0,Gradesheet!#REF!,Gradesheet!#REF!)</f>
        <v>#REF!</v>
      </c>
      <c r="H943" s="139" t="e">
        <f t="shared" si="15"/>
        <v>#REF!</v>
      </c>
    </row>
    <row r="944" spans="2:8" hidden="1" x14ac:dyDescent="0.25">
      <c r="B944" s="90" t="e">
        <f>Gradesheet!#REF!</f>
        <v>#REF!</v>
      </c>
      <c r="C944" s="91" t="e">
        <f>(Gradesheet!#REF!)</f>
        <v>#REF!</v>
      </c>
      <c r="D944" s="92" t="e">
        <f>IF(Outline!$C$14&gt;0,Gradesheet!#REF!,Gradesheet!#REF!)</f>
        <v>#REF!</v>
      </c>
      <c r="E944" s="138" t="e">
        <f>IF(Outline!$C$14&gt;0,Gradesheet!#REF!,Gradesheet!#REF!)</f>
        <v>#REF!</v>
      </c>
      <c r="F944" s="138" t="e">
        <f>IF(Outline!$C$14&gt;0,Gradesheet!#REF!,"NA")</f>
        <v>#REF!</v>
      </c>
      <c r="G944" s="138" t="e">
        <f>IF(Outline!$C$14&gt;0,Gradesheet!#REF!,Gradesheet!#REF!)</f>
        <v>#REF!</v>
      </c>
      <c r="H944" s="139" t="e">
        <f t="shared" si="15"/>
        <v>#REF!</v>
      </c>
    </row>
    <row r="945" spans="2:8" hidden="1" x14ac:dyDescent="0.25">
      <c r="B945" s="90" t="e">
        <f>Gradesheet!#REF!</f>
        <v>#REF!</v>
      </c>
      <c r="C945" s="91" t="e">
        <f>(Gradesheet!#REF!)</f>
        <v>#REF!</v>
      </c>
      <c r="D945" s="92" t="e">
        <f>IF(Outline!$C$14&gt;0,Gradesheet!#REF!,Gradesheet!#REF!)</f>
        <v>#REF!</v>
      </c>
      <c r="E945" s="138" t="e">
        <f>IF(Outline!$C$14&gt;0,Gradesheet!#REF!,Gradesheet!#REF!)</f>
        <v>#REF!</v>
      </c>
      <c r="F945" s="138" t="e">
        <f>IF(Outline!$C$14&gt;0,Gradesheet!#REF!,"NA")</f>
        <v>#REF!</v>
      </c>
      <c r="G945" s="138" t="e">
        <f>IF(Outline!$C$14&gt;0,Gradesheet!#REF!,Gradesheet!#REF!)</f>
        <v>#REF!</v>
      </c>
      <c r="H945" s="139" t="e">
        <f t="shared" si="15"/>
        <v>#REF!</v>
      </c>
    </row>
    <row r="946" spans="2:8" hidden="1" x14ac:dyDescent="0.25">
      <c r="B946" s="90" t="e">
        <f>Gradesheet!#REF!</f>
        <v>#REF!</v>
      </c>
      <c r="C946" s="91" t="e">
        <f>(Gradesheet!#REF!)</f>
        <v>#REF!</v>
      </c>
      <c r="D946" s="92" t="e">
        <f>IF(Outline!$C$14&gt;0,Gradesheet!#REF!,Gradesheet!#REF!)</f>
        <v>#REF!</v>
      </c>
      <c r="E946" s="138" t="e">
        <f>IF(Outline!$C$14&gt;0,Gradesheet!#REF!,Gradesheet!#REF!)</f>
        <v>#REF!</v>
      </c>
      <c r="F946" s="138" t="e">
        <f>IF(Outline!$C$14&gt;0,Gradesheet!#REF!,"NA")</f>
        <v>#REF!</v>
      </c>
      <c r="G946" s="138" t="e">
        <f>IF(Outline!$C$14&gt;0,Gradesheet!#REF!,Gradesheet!#REF!)</f>
        <v>#REF!</v>
      </c>
      <c r="H946" s="139" t="e">
        <f t="shared" si="15"/>
        <v>#REF!</v>
      </c>
    </row>
    <row r="947" spans="2:8" hidden="1" x14ac:dyDescent="0.25">
      <c r="B947" s="90" t="e">
        <f>Gradesheet!#REF!</f>
        <v>#REF!</v>
      </c>
      <c r="C947" s="91" t="e">
        <f>(Gradesheet!#REF!)</f>
        <v>#REF!</v>
      </c>
      <c r="D947" s="92" t="e">
        <f>IF(Outline!$C$14&gt;0,Gradesheet!#REF!,Gradesheet!#REF!)</f>
        <v>#REF!</v>
      </c>
      <c r="E947" s="138" t="e">
        <f>IF(Outline!$C$14&gt;0,Gradesheet!#REF!,Gradesheet!#REF!)</f>
        <v>#REF!</v>
      </c>
      <c r="F947" s="138" t="e">
        <f>IF(Outline!$C$14&gt;0,Gradesheet!#REF!,"NA")</f>
        <v>#REF!</v>
      </c>
      <c r="G947" s="138" t="e">
        <f>IF(Outline!$C$14&gt;0,Gradesheet!#REF!,Gradesheet!#REF!)</f>
        <v>#REF!</v>
      </c>
      <c r="H947" s="139" t="e">
        <f t="shared" si="15"/>
        <v>#REF!</v>
      </c>
    </row>
    <row r="948" spans="2:8" hidden="1" x14ac:dyDescent="0.25">
      <c r="B948" s="90" t="e">
        <f>Gradesheet!#REF!</f>
        <v>#REF!</v>
      </c>
      <c r="C948" s="91" t="e">
        <f>(Gradesheet!#REF!)</f>
        <v>#REF!</v>
      </c>
      <c r="D948" s="92" t="e">
        <f>IF(Outline!$C$14&gt;0,Gradesheet!#REF!,Gradesheet!#REF!)</f>
        <v>#REF!</v>
      </c>
      <c r="E948" s="138" t="e">
        <f>IF(Outline!$C$14&gt;0,Gradesheet!#REF!,Gradesheet!#REF!)</f>
        <v>#REF!</v>
      </c>
      <c r="F948" s="138" t="e">
        <f>IF(Outline!$C$14&gt;0,Gradesheet!#REF!,"NA")</f>
        <v>#REF!</v>
      </c>
      <c r="G948" s="138" t="e">
        <f>IF(Outline!$C$14&gt;0,Gradesheet!#REF!,Gradesheet!#REF!)</f>
        <v>#REF!</v>
      </c>
      <c r="H948" s="139" t="e">
        <f t="shared" si="15"/>
        <v>#REF!</v>
      </c>
    </row>
    <row r="949" spans="2:8" hidden="1" x14ac:dyDescent="0.25">
      <c r="B949" s="90" t="e">
        <f>Gradesheet!#REF!</f>
        <v>#REF!</v>
      </c>
      <c r="C949" s="91" t="e">
        <f>(Gradesheet!#REF!)</f>
        <v>#REF!</v>
      </c>
      <c r="D949" s="92" t="e">
        <f>IF(Outline!$C$14&gt;0,Gradesheet!#REF!,Gradesheet!#REF!)</f>
        <v>#REF!</v>
      </c>
      <c r="E949" s="138" t="e">
        <f>IF(Outline!$C$14&gt;0,Gradesheet!#REF!,Gradesheet!#REF!)</f>
        <v>#REF!</v>
      </c>
      <c r="F949" s="138" t="e">
        <f>IF(Outline!$C$14&gt;0,Gradesheet!#REF!,"NA")</f>
        <v>#REF!</v>
      </c>
      <c r="G949" s="138" t="e">
        <f>IF(Outline!$C$14&gt;0,Gradesheet!#REF!,Gradesheet!#REF!)</f>
        <v>#REF!</v>
      </c>
      <c r="H949" s="139" t="e">
        <f t="shared" si="15"/>
        <v>#REF!</v>
      </c>
    </row>
    <row r="950" spans="2:8" hidden="1" x14ac:dyDescent="0.25">
      <c r="B950" s="90" t="e">
        <f>Gradesheet!#REF!</f>
        <v>#REF!</v>
      </c>
      <c r="C950" s="91" t="e">
        <f>(Gradesheet!#REF!)</f>
        <v>#REF!</v>
      </c>
      <c r="D950" s="92" t="e">
        <f>IF(Outline!$C$14&gt;0,Gradesheet!#REF!,Gradesheet!#REF!)</f>
        <v>#REF!</v>
      </c>
      <c r="E950" s="138" t="e">
        <f>IF(Outline!$C$14&gt;0,Gradesheet!#REF!,Gradesheet!#REF!)</f>
        <v>#REF!</v>
      </c>
      <c r="F950" s="138" t="e">
        <f>IF(Outline!$C$14&gt;0,Gradesheet!#REF!,"NA")</f>
        <v>#REF!</v>
      </c>
      <c r="G950" s="138" t="e">
        <f>IF(Outline!$C$14&gt;0,Gradesheet!#REF!,Gradesheet!#REF!)</f>
        <v>#REF!</v>
      </c>
      <c r="H950" s="139" t="e">
        <f t="shared" si="15"/>
        <v>#REF!</v>
      </c>
    </row>
    <row r="951" spans="2:8" hidden="1" x14ac:dyDescent="0.25">
      <c r="B951" s="90" t="e">
        <f>Gradesheet!#REF!</f>
        <v>#REF!</v>
      </c>
      <c r="C951" s="91" t="e">
        <f>(Gradesheet!#REF!)</f>
        <v>#REF!</v>
      </c>
      <c r="D951" s="92" t="e">
        <f>IF(Outline!$C$14&gt;0,Gradesheet!#REF!,Gradesheet!#REF!)</f>
        <v>#REF!</v>
      </c>
      <c r="E951" s="138" t="e">
        <f>IF(Outline!$C$14&gt;0,Gradesheet!#REF!,Gradesheet!#REF!)</f>
        <v>#REF!</v>
      </c>
      <c r="F951" s="138" t="e">
        <f>IF(Outline!$C$14&gt;0,Gradesheet!#REF!,"NA")</f>
        <v>#REF!</v>
      </c>
      <c r="G951" s="138" t="e">
        <f>IF(Outline!$C$14&gt;0,Gradesheet!#REF!,Gradesheet!#REF!)</f>
        <v>#REF!</v>
      </c>
      <c r="H951" s="139" t="e">
        <f t="shared" si="15"/>
        <v>#REF!</v>
      </c>
    </row>
    <row r="952" spans="2:8" hidden="1" x14ac:dyDescent="0.25">
      <c r="B952" s="90" t="e">
        <f>Gradesheet!#REF!</f>
        <v>#REF!</v>
      </c>
      <c r="C952" s="91" t="e">
        <f>(Gradesheet!#REF!)</f>
        <v>#REF!</v>
      </c>
      <c r="D952" s="92" t="e">
        <f>IF(Outline!$C$14&gt;0,Gradesheet!#REF!,Gradesheet!#REF!)</f>
        <v>#REF!</v>
      </c>
      <c r="E952" s="138" t="e">
        <f>IF(Outline!$C$14&gt;0,Gradesheet!#REF!,Gradesheet!#REF!)</f>
        <v>#REF!</v>
      </c>
      <c r="F952" s="138" t="e">
        <f>IF(Outline!$C$14&gt;0,Gradesheet!#REF!,"NA")</f>
        <v>#REF!</v>
      </c>
      <c r="G952" s="138" t="e">
        <f>IF(Outline!$C$14&gt;0,Gradesheet!#REF!,Gradesheet!#REF!)</f>
        <v>#REF!</v>
      </c>
      <c r="H952" s="139" t="e">
        <f t="shared" si="15"/>
        <v>#REF!</v>
      </c>
    </row>
    <row r="953" spans="2:8" hidden="1" x14ac:dyDescent="0.25">
      <c r="B953" s="90" t="e">
        <f>Gradesheet!#REF!</f>
        <v>#REF!</v>
      </c>
      <c r="C953" s="91" t="e">
        <f>(Gradesheet!#REF!)</f>
        <v>#REF!</v>
      </c>
      <c r="D953" s="92" t="e">
        <f>IF(Outline!$C$14&gt;0,Gradesheet!#REF!,Gradesheet!#REF!)</f>
        <v>#REF!</v>
      </c>
      <c r="E953" s="138" t="e">
        <f>IF(Outline!$C$14&gt;0,Gradesheet!#REF!,Gradesheet!#REF!)</f>
        <v>#REF!</v>
      </c>
      <c r="F953" s="138" t="e">
        <f>IF(Outline!$C$14&gt;0,Gradesheet!#REF!,"NA")</f>
        <v>#REF!</v>
      </c>
      <c r="G953" s="138" t="e">
        <f>IF(Outline!$C$14&gt;0,Gradesheet!#REF!,Gradesheet!#REF!)</f>
        <v>#REF!</v>
      </c>
      <c r="H953" s="139" t="e">
        <f t="shared" si="15"/>
        <v>#REF!</v>
      </c>
    </row>
    <row r="954" spans="2:8" hidden="1" x14ac:dyDescent="0.25">
      <c r="B954" s="90" t="e">
        <f>Gradesheet!#REF!</f>
        <v>#REF!</v>
      </c>
      <c r="C954" s="91" t="e">
        <f>(Gradesheet!#REF!)</f>
        <v>#REF!</v>
      </c>
      <c r="D954" s="92" t="e">
        <f>IF(Outline!$C$14&gt;0,Gradesheet!#REF!,Gradesheet!#REF!)</f>
        <v>#REF!</v>
      </c>
      <c r="E954" s="138" t="e">
        <f>IF(Outline!$C$14&gt;0,Gradesheet!#REF!,Gradesheet!#REF!)</f>
        <v>#REF!</v>
      </c>
      <c r="F954" s="138" t="e">
        <f>IF(Outline!$C$14&gt;0,Gradesheet!#REF!,"NA")</f>
        <v>#REF!</v>
      </c>
      <c r="G954" s="138" t="e">
        <f>IF(Outline!$C$14&gt;0,Gradesheet!#REF!,Gradesheet!#REF!)</f>
        <v>#REF!</v>
      </c>
      <c r="H954" s="139" t="e">
        <f t="shared" si="15"/>
        <v>#REF!</v>
      </c>
    </row>
    <row r="955" spans="2:8" hidden="1" x14ac:dyDescent="0.25">
      <c r="B955" s="90" t="e">
        <f>Gradesheet!#REF!</f>
        <v>#REF!</v>
      </c>
      <c r="C955" s="91" t="e">
        <f>(Gradesheet!#REF!)</f>
        <v>#REF!</v>
      </c>
      <c r="D955" s="92" t="e">
        <f>IF(Outline!$C$14&gt;0,Gradesheet!#REF!,Gradesheet!#REF!)</f>
        <v>#REF!</v>
      </c>
      <c r="E955" s="138" t="e">
        <f>IF(Outline!$C$14&gt;0,Gradesheet!#REF!,Gradesheet!#REF!)</f>
        <v>#REF!</v>
      </c>
      <c r="F955" s="138" t="e">
        <f>IF(Outline!$C$14&gt;0,Gradesheet!#REF!,"NA")</f>
        <v>#REF!</v>
      </c>
      <c r="G955" s="138" t="e">
        <f>IF(Outline!$C$14&gt;0,Gradesheet!#REF!,Gradesheet!#REF!)</f>
        <v>#REF!</v>
      </c>
      <c r="H955" s="139" t="e">
        <f t="shared" si="15"/>
        <v>#REF!</v>
      </c>
    </row>
    <row r="956" spans="2:8" hidden="1" x14ac:dyDescent="0.25">
      <c r="B956" s="90" t="e">
        <f>Gradesheet!#REF!</f>
        <v>#REF!</v>
      </c>
      <c r="C956" s="91" t="e">
        <f>(Gradesheet!#REF!)</f>
        <v>#REF!</v>
      </c>
      <c r="D956" s="92" t="e">
        <f>IF(Outline!$C$14&gt;0,Gradesheet!#REF!,Gradesheet!#REF!)</f>
        <v>#REF!</v>
      </c>
      <c r="E956" s="138" t="e">
        <f>IF(Outline!$C$14&gt;0,Gradesheet!#REF!,Gradesheet!#REF!)</f>
        <v>#REF!</v>
      </c>
      <c r="F956" s="138" t="e">
        <f>IF(Outline!$C$14&gt;0,Gradesheet!#REF!,"NA")</f>
        <v>#REF!</v>
      </c>
      <c r="G956" s="138" t="e">
        <f>IF(Outline!$C$14&gt;0,Gradesheet!#REF!,Gradesheet!#REF!)</f>
        <v>#REF!</v>
      </c>
      <c r="H956" s="139" t="e">
        <f t="shared" si="15"/>
        <v>#REF!</v>
      </c>
    </row>
    <row r="957" spans="2:8" hidden="1" x14ac:dyDescent="0.25">
      <c r="B957" s="90" t="e">
        <f>Gradesheet!#REF!</f>
        <v>#REF!</v>
      </c>
      <c r="C957" s="91" t="e">
        <f>(Gradesheet!#REF!)</f>
        <v>#REF!</v>
      </c>
      <c r="D957" s="92" t="e">
        <f>IF(Outline!$C$14&gt;0,Gradesheet!#REF!,Gradesheet!#REF!)</f>
        <v>#REF!</v>
      </c>
      <c r="E957" s="138" t="e">
        <f>IF(Outline!$C$14&gt;0,Gradesheet!#REF!,Gradesheet!#REF!)</f>
        <v>#REF!</v>
      </c>
      <c r="F957" s="138" t="e">
        <f>IF(Outline!$C$14&gt;0,Gradesheet!#REF!,"NA")</f>
        <v>#REF!</v>
      </c>
      <c r="G957" s="138" t="e">
        <f>IF(Outline!$C$14&gt;0,Gradesheet!#REF!,Gradesheet!#REF!)</f>
        <v>#REF!</v>
      </c>
      <c r="H957" s="139" t="e">
        <f t="shared" si="15"/>
        <v>#REF!</v>
      </c>
    </row>
    <row r="958" spans="2:8" hidden="1" x14ac:dyDescent="0.25">
      <c r="B958" s="90" t="e">
        <f>Gradesheet!#REF!</f>
        <v>#REF!</v>
      </c>
      <c r="C958" s="91" t="e">
        <f>(Gradesheet!#REF!)</f>
        <v>#REF!</v>
      </c>
      <c r="D958" s="92" t="e">
        <f>IF(Outline!$C$14&gt;0,Gradesheet!#REF!,Gradesheet!#REF!)</f>
        <v>#REF!</v>
      </c>
      <c r="E958" s="138" t="e">
        <f>IF(Outline!$C$14&gt;0,Gradesheet!#REF!,Gradesheet!#REF!)</f>
        <v>#REF!</v>
      </c>
      <c r="F958" s="138" t="e">
        <f>IF(Outline!$C$14&gt;0,Gradesheet!#REF!,"NA")</f>
        <v>#REF!</v>
      </c>
      <c r="G958" s="138" t="e">
        <f>IF(Outline!$C$14&gt;0,Gradesheet!#REF!,Gradesheet!#REF!)</f>
        <v>#REF!</v>
      </c>
      <c r="H958" s="139" t="e">
        <f t="shared" si="15"/>
        <v>#REF!</v>
      </c>
    </row>
    <row r="959" spans="2:8" hidden="1" x14ac:dyDescent="0.25">
      <c r="B959" s="90" t="e">
        <f>Gradesheet!#REF!</f>
        <v>#REF!</v>
      </c>
      <c r="C959" s="91" t="e">
        <f>(Gradesheet!#REF!)</f>
        <v>#REF!</v>
      </c>
      <c r="D959" s="92" t="e">
        <f>IF(Outline!$C$14&gt;0,Gradesheet!#REF!,Gradesheet!#REF!)</f>
        <v>#REF!</v>
      </c>
      <c r="E959" s="138" t="e">
        <f>IF(Outline!$C$14&gt;0,Gradesheet!#REF!,Gradesheet!#REF!)</f>
        <v>#REF!</v>
      </c>
      <c r="F959" s="138" t="e">
        <f>IF(Outline!$C$14&gt;0,Gradesheet!#REF!,"NA")</f>
        <v>#REF!</v>
      </c>
      <c r="G959" s="138" t="e">
        <f>IF(Outline!$C$14&gt;0,Gradesheet!#REF!,Gradesheet!#REF!)</f>
        <v>#REF!</v>
      </c>
      <c r="H959" s="139" t="e">
        <f t="shared" si="15"/>
        <v>#REF!</v>
      </c>
    </row>
    <row r="960" spans="2:8" hidden="1" x14ac:dyDescent="0.25">
      <c r="B960" s="90" t="e">
        <f>Gradesheet!#REF!</f>
        <v>#REF!</v>
      </c>
      <c r="C960" s="91" t="e">
        <f>(Gradesheet!#REF!)</f>
        <v>#REF!</v>
      </c>
      <c r="D960" s="92" t="e">
        <f>IF(Outline!$C$14&gt;0,Gradesheet!#REF!,Gradesheet!#REF!)</f>
        <v>#REF!</v>
      </c>
      <c r="E960" s="138" t="e">
        <f>IF(Outline!$C$14&gt;0,Gradesheet!#REF!,Gradesheet!#REF!)</f>
        <v>#REF!</v>
      </c>
      <c r="F960" s="138" t="e">
        <f>IF(Outline!$C$14&gt;0,Gradesheet!#REF!,"NA")</f>
        <v>#REF!</v>
      </c>
      <c r="G960" s="138" t="e">
        <f>IF(Outline!$C$14&gt;0,Gradesheet!#REF!,Gradesheet!#REF!)</f>
        <v>#REF!</v>
      </c>
      <c r="H960" s="139" t="e">
        <f t="shared" si="15"/>
        <v>#REF!</v>
      </c>
    </row>
    <row r="961" spans="2:8" hidden="1" x14ac:dyDescent="0.25">
      <c r="B961" s="90" t="e">
        <f>Gradesheet!#REF!</f>
        <v>#REF!</v>
      </c>
      <c r="C961" s="91" t="e">
        <f>(Gradesheet!#REF!)</f>
        <v>#REF!</v>
      </c>
      <c r="D961" s="92" t="e">
        <f>IF(Outline!$C$14&gt;0,Gradesheet!#REF!,Gradesheet!#REF!)</f>
        <v>#REF!</v>
      </c>
      <c r="E961" s="138" t="e">
        <f>IF(Outline!$C$14&gt;0,Gradesheet!#REF!,Gradesheet!#REF!)</f>
        <v>#REF!</v>
      </c>
      <c r="F961" s="138" t="e">
        <f>IF(Outline!$C$14&gt;0,Gradesheet!#REF!,"NA")</f>
        <v>#REF!</v>
      </c>
      <c r="G961" s="138" t="e">
        <f>IF(Outline!$C$14&gt;0,Gradesheet!#REF!,Gradesheet!#REF!)</f>
        <v>#REF!</v>
      </c>
      <c r="H961" s="139" t="e">
        <f t="shared" si="15"/>
        <v>#REF!</v>
      </c>
    </row>
    <row r="962" spans="2:8" hidden="1" x14ac:dyDescent="0.25">
      <c r="B962" s="90" t="e">
        <f>Gradesheet!#REF!</f>
        <v>#REF!</v>
      </c>
      <c r="C962" s="91" t="e">
        <f>(Gradesheet!#REF!)</f>
        <v>#REF!</v>
      </c>
      <c r="D962" s="92" t="e">
        <f>IF(Outline!$C$14&gt;0,Gradesheet!#REF!,Gradesheet!#REF!)</f>
        <v>#REF!</v>
      </c>
      <c r="E962" s="138" t="e">
        <f>IF(Outline!$C$14&gt;0,Gradesheet!#REF!,Gradesheet!#REF!)</f>
        <v>#REF!</v>
      </c>
      <c r="F962" s="138" t="e">
        <f>IF(Outline!$C$14&gt;0,Gradesheet!#REF!,"NA")</f>
        <v>#REF!</v>
      </c>
      <c r="G962" s="138" t="e">
        <f>IF(Outline!$C$14&gt;0,Gradesheet!#REF!,Gradesheet!#REF!)</f>
        <v>#REF!</v>
      </c>
      <c r="H962" s="139" t="e">
        <f t="shared" si="15"/>
        <v>#REF!</v>
      </c>
    </row>
    <row r="963" spans="2:8" hidden="1" x14ac:dyDescent="0.25">
      <c r="B963" s="90" t="e">
        <f>Gradesheet!#REF!</f>
        <v>#REF!</v>
      </c>
      <c r="C963" s="91" t="e">
        <f>(Gradesheet!#REF!)</f>
        <v>#REF!</v>
      </c>
      <c r="D963" s="92" t="e">
        <f>IF(Outline!$C$14&gt;0,Gradesheet!#REF!,Gradesheet!#REF!)</f>
        <v>#REF!</v>
      </c>
      <c r="E963" s="138" t="e">
        <f>IF(Outline!$C$14&gt;0,Gradesheet!#REF!,Gradesheet!#REF!)</f>
        <v>#REF!</v>
      </c>
      <c r="F963" s="138" t="e">
        <f>IF(Outline!$C$14&gt;0,Gradesheet!#REF!,"NA")</f>
        <v>#REF!</v>
      </c>
      <c r="G963" s="138" t="e">
        <f>IF(Outline!$C$14&gt;0,Gradesheet!#REF!,Gradesheet!#REF!)</f>
        <v>#REF!</v>
      </c>
      <c r="H963" s="139" t="e">
        <f t="shared" si="15"/>
        <v>#REF!</v>
      </c>
    </row>
    <row r="964" spans="2:8" hidden="1" x14ac:dyDescent="0.25">
      <c r="B964" s="90" t="e">
        <f>Gradesheet!#REF!</f>
        <v>#REF!</v>
      </c>
      <c r="C964" s="91" t="e">
        <f>(Gradesheet!#REF!)</f>
        <v>#REF!</v>
      </c>
      <c r="D964" s="92" t="e">
        <f>IF(Outline!$C$14&gt;0,Gradesheet!#REF!,Gradesheet!#REF!)</f>
        <v>#REF!</v>
      </c>
      <c r="E964" s="138" t="e">
        <f>IF(Outline!$C$14&gt;0,Gradesheet!#REF!,Gradesheet!#REF!)</f>
        <v>#REF!</v>
      </c>
      <c r="F964" s="138" t="e">
        <f>IF(Outline!$C$14&gt;0,Gradesheet!#REF!,"NA")</f>
        <v>#REF!</v>
      </c>
      <c r="G964" s="138" t="e">
        <f>IF(Outline!$C$14&gt;0,Gradesheet!#REF!,Gradesheet!#REF!)</f>
        <v>#REF!</v>
      </c>
      <c r="H964" s="139" t="e">
        <f t="shared" si="15"/>
        <v>#REF!</v>
      </c>
    </row>
    <row r="965" spans="2:8" hidden="1" x14ac:dyDescent="0.25">
      <c r="B965" s="90" t="e">
        <f>Gradesheet!#REF!</f>
        <v>#REF!</v>
      </c>
      <c r="C965" s="91" t="e">
        <f>(Gradesheet!#REF!)</f>
        <v>#REF!</v>
      </c>
      <c r="D965" s="92" t="e">
        <f>IF(Outline!$C$14&gt;0,Gradesheet!#REF!,Gradesheet!#REF!)</f>
        <v>#REF!</v>
      </c>
      <c r="E965" s="138" t="e">
        <f>IF(Outline!$C$14&gt;0,Gradesheet!#REF!,Gradesheet!#REF!)</f>
        <v>#REF!</v>
      </c>
      <c r="F965" s="138" t="e">
        <f>IF(Outline!$C$14&gt;0,Gradesheet!#REF!,"NA")</f>
        <v>#REF!</v>
      </c>
      <c r="G965" s="138" t="e">
        <f>IF(Outline!$C$14&gt;0,Gradesheet!#REF!,Gradesheet!#REF!)</f>
        <v>#REF!</v>
      </c>
      <c r="H965" s="139" t="e">
        <f t="shared" si="15"/>
        <v>#REF!</v>
      </c>
    </row>
    <row r="966" spans="2:8" hidden="1" x14ac:dyDescent="0.25">
      <c r="B966" s="90" t="e">
        <f>Gradesheet!#REF!</f>
        <v>#REF!</v>
      </c>
      <c r="C966" s="91" t="e">
        <f>(Gradesheet!#REF!)</f>
        <v>#REF!</v>
      </c>
      <c r="D966" s="92" t="e">
        <f>IF(Outline!$C$14&gt;0,Gradesheet!#REF!,Gradesheet!#REF!)</f>
        <v>#REF!</v>
      </c>
      <c r="E966" s="138" t="e">
        <f>IF(Outline!$C$14&gt;0,Gradesheet!#REF!,Gradesheet!#REF!)</f>
        <v>#REF!</v>
      </c>
      <c r="F966" s="138" t="e">
        <f>IF(Outline!$C$14&gt;0,Gradesheet!#REF!,"NA")</f>
        <v>#REF!</v>
      </c>
      <c r="G966" s="138" t="e">
        <f>IF(Outline!$C$14&gt;0,Gradesheet!#REF!,Gradesheet!#REF!)</f>
        <v>#REF!</v>
      </c>
      <c r="H966" s="139" t="e">
        <f t="shared" si="15"/>
        <v>#REF!</v>
      </c>
    </row>
    <row r="967" spans="2:8" hidden="1" x14ac:dyDescent="0.25">
      <c r="B967" s="90" t="e">
        <f>Gradesheet!#REF!</f>
        <v>#REF!</v>
      </c>
      <c r="C967" s="91" t="e">
        <f>(Gradesheet!#REF!)</f>
        <v>#REF!</v>
      </c>
      <c r="D967" s="92" t="e">
        <f>IF(Outline!$C$14&gt;0,Gradesheet!#REF!,Gradesheet!#REF!)</f>
        <v>#REF!</v>
      </c>
      <c r="E967" s="138" t="e">
        <f>IF(Outline!$C$14&gt;0,Gradesheet!#REF!,Gradesheet!#REF!)</f>
        <v>#REF!</v>
      </c>
      <c r="F967" s="138" t="e">
        <f>IF(Outline!$C$14&gt;0,Gradesheet!#REF!,"NA")</f>
        <v>#REF!</v>
      </c>
      <c r="G967" s="138" t="e">
        <f>IF(Outline!$C$14&gt;0,Gradesheet!#REF!,Gradesheet!#REF!)</f>
        <v>#REF!</v>
      </c>
      <c r="H967" s="139" t="e">
        <f t="shared" ref="H967:H1000" si="16">SUM(D967:G967)</f>
        <v>#REF!</v>
      </c>
    </row>
    <row r="968" spans="2:8" hidden="1" x14ac:dyDescent="0.25">
      <c r="B968" s="90" t="e">
        <f>Gradesheet!#REF!</f>
        <v>#REF!</v>
      </c>
      <c r="C968" s="91" t="e">
        <f>(Gradesheet!#REF!)</f>
        <v>#REF!</v>
      </c>
      <c r="D968" s="92" t="e">
        <f>IF(Outline!$C$14&gt;0,Gradesheet!#REF!,Gradesheet!#REF!)</f>
        <v>#REF!</v>
      </c>
      <c r="E968" s="138" t="e">
        <f>IF(Outline!$C$14&gt;0,Gradesheet!#REF!,Gradesheet!#REF!)</f>
        <v>#REF!</v>
      </c>
      <c r="F968" s="138" t="e">
        <f>IF(Outline!$C$14&gt;0,Gradesheet!#REF!,"NA")</f>
        <v>#REF!</v>
      </c>
      <c r="G968" s="138" t="e">
        <f>IF(Outline!$C$14&gt;0,Gradesheet!#REF!,Gradesheet!#REF!)</f>
        <v>#REF!</v>
      </c>
      <c r="H968" s="139" t="e">
        <f t="shared" si="16"/>
        <v>#REF!</v>
      </c>
    </row>
    <row r="969" spans="2:8" hidden="1" x14ac:dyDescent="0.25">
      <c r="B969" s="90" t="e">
        <f>Gradesheet!#REF!</f>
        <v>#REF!</v>
      </c>
      <c r="C969" s="91" t="e">
        <f>(Gradesheet!#REF!)</f>
        <v>#REF!</v>
      </c>
      <c r="D969" s="92" t="e">
        <f>IF(Outline!$C$14&gt;0,Gradesheet!#REF!,Gradesheet!#REF!)</f>
        <v>#REF!</v>
      </c>
      <c r="E969" s="138" t="e">
        <f>IF(Outline!$C$14&gt;0,Gradesheet!#REF!,Gradesheet!#REF!)</f>
        <v>#REF!</v>
      </c>
      <c r="F969" s="138" t="e">
        <f>IF(Outline!$C$14&gt;0,Gradesheet!#REF!,"NA")</f>
        <v>#REF!</v>
      </c>
      <c r="G969" s="138" t="e">
        <f>IF(Outline!$C$14&gt;0,Gradesheet!#REF!,Gradesheet!#REF!)</f>
        <v>#REF!</v>
      </c>
      <c r="H969" s="139" t="e">
        <f t="shared" si="16"/>
        <v>#REF!</v>
      </c>
    </row>
    <row r="970" spans="2:8" hidden="1" x14ac:dyDescent="0.25">
      <c r="B970" s="90" t="e">
        <f>Gradesheet!#REF!</f>
        <v>#REF!</v>
      </c>
      <c r="C970" s="91" t="e">
        <f>(Gradesheet!#REF!)</f>
        <v>#REF!</v>
      </c>
      <c r="D970" s="92" t="e">
        <f>IF(Outline!$C$14&gt;0,Gradesheet!#REF!,Gradesheet!#REF!)</f>
        <v>#REF!</v>
      </c>
      <c r="E970" s="138" t="e">
        <f>IF(Outline!$C$14&gt;0,Gradesheet!#REF!,Gradesheet!#REF!)</f>
        <v>#REF!</v>
      </c>
      <c r="F970" s="138" t="e">
        <f>IF(Outline!$C$14&gt;0,Gradesheet!#REF!,"NA")</f>
        <v>#REF!</v>
      </c>
      <c r="G970" s="138" t="e">
        <f>IF(Outline!$C$14&gt;0,Gradesheet!#REF!,Gradesheet!#REF!)</f>
        <v>#REF!</v>
      </c>
      <c r="H970" s="139" t="e">
        <f t="shared" si="16"/>
        <v>#REF!</v>
      </c>
    </row>
    <row r="971" spans="2:8" hidden="1" x14ac:dyDescent="0.25">
      <c r="B971" s="90" t="e">
        <f>Gradesheet!#REF!</f>
        <v>#REF!</v>
      </c>
      <c r="C971" s="91" t="e">
        <f>(Gradesheet!#REF!)</f>
        <v>#REF!</v>
      </c>
      <c r="D971" s="92" t="e">
        <f>IF(Outline!$C$14&gt;0,Gradesheet!#REF!,Gradesheet!#REF!)</f>
        <v>#REF!</v>
      </c>
      <c r="E971" s="138" t="e">
        <f>IF(Outline!$C$14&gt;0,Gradesheet!#REF!,Gradesheet!#REF!)</f>
        <v>#REF!</v>
      </c>
      <c r="F971" s="138" t="e">
        <f>IF(Outline!$C$14&gt;0,Gradesheet!#REF!,"NA")</f>
        <v>#REF!</v>
      </c>
      <c r="G971" s="138" t="e">
        <f>IF(Outline!$C$14&gt;0,Gradesheet!#REF!,Gradesheet!#REF!)</f>
        <v>#REF!</v>
      </c>
      <c r="H971" s="139" t="e">
        <f t="shared" si="16"/>
        <v>#REF!</v>
      </c>
    </row>
    <row r="972" spans="2:8" hidden="1" x14ac:dyDescent="0.25">
      <c r="B972" s="90" t="e">
        <f>Gradesheet!#REF!</f>
        <v>#REF!</v>
      </c>
      <c r="C972" s="91" t="e">
        <f>(Gradesheet!#REF!)</f>
        <v>#REF!</v>
      </c>
      <c r="D972" s="92" t="e">
        <f>IF(Outline!$C$14&gt;0,Gradesheet!#REF!,Gradesheet!#REF!)</f>
        <v>#REF!</v>
      </c>
      <c r="E972" s="138" t="e">
        <f>IF(Outline!$C$14&gt;0,Gradesheet!#REF!,Gradesheet!#REF!)</f>
        <v>#REF!</v>
      </c>
      <c r="F972" s="138" t="e">
        <f>IF(Outline!$C$14&gt;0,Gradesheet!#REF!,"NA")</f>
        <v>#REF!</v>
      </c>
      <c r="G972" s="138" t="e">
        <f>IF(Outline!$C$14&gt;0,Gradesheet!#REF!,Gradesheet!#REF!)</f>
        <v>#REF!</v>
      </c>
      <c r="H972" s="139" t="e">
        <f t="shared" si="16"/>
        <v>#REF!</v>
      </c>
    </row>
    <row r="973" spans="2:8" hidden="1" x14ac:dyDescent="0.25">
      <c r="B973" s="90" t="e">
        <f>Gradesheet!#REF!</f>
        <v>#REF!</v>
      </c>
      <c r="C973" s="91" t="e">
        <f>(Gradesheet!#REF!)</f>
        <v>#REF!</v>
      </c>
      <c r="D973" s="92" t="e">
        <f>IF(Outline!$C$14&gt;0,Gradesheet!#REF!,Gradesheet!#REF!)</f>
        <v>#REF!</v>
      </c>
      <c r="E973" s="138" t="e">
        <f>IF(Outline!$C$14&gt;0,Gradesheet!#REF!,Gradesheet!#REF!)</f>
        <v>#REF!</v>
      </c>
      <c r="F973" s="138" t="e">
        <f>IF(Outline!$C$14&gt;0,Gradesheet!#REF!,"NA")</f>
        <v>#REF!</v>
      </c>
      <c r="G973" s="138" t="e">
        <f>IF(Outline!$C$14&gt;0,Gradesheet!#REF!,Gradesheet!#REF!)</f>
        <v>#REF!</v>
      </c>
      <c r="H973" s="139" t="e">
        <f t="shared" si="16"/>
        <v>#REF!</v>
      </c>
    </row>
    <row r="974" spans="2:8" hidden="1" x14ac:dyDescent="0.25">
      <c r="B974" s="90" t="e">
        <f>Gradesheet!#REF!</f>
        <v>#REF!</v>
      </c>
      <c r="C974" s="91" t="e">
        <f>(Gradesheet!#REF!)</f>
        <v>#REF!</v>
      </c>
      <c r="D974" s="92" t="e">
        <f>IF(Outline!$C$14&gt;0,Gradesheet!#REF!,Gradesheet!#REF!)</f>
        <v>#REF!</v>
      </c>
      <c r="E974" s="138" t="e">
        <f>IF(Outline!$C$14&gt;0,Gradesheet!#REF!,Gradesheet!#REF!)</f>
        <v>#REF!</v>
      </c>
      <c r="F974" s="138" t="e">
        <f>IF(Outline!$C$14&gt;0,Gradesheet!#REF!,"NA")</f>
        <v>#REF!</v>
      </c>
      <c r="G974" s="138" t="e">
        <f>IF(Outline!$C$14&gt;0,Gradesheet!#REF!,Gradesheet!#REF!)</f>
        <v>#REF!</v>
      </c>
      <c r="H974" s="139" t="e">
        <f t="shared" si="16"/>
        <v>#REF!</v>
      </c>
    </row>
    <row r="975" spans="2:8" hidden="1" x14ac:dyDescent="0.25">
      <c r="B975" s="90" t="e">
        <f>Gradesheet!#REF!</f>
        <v>#REF!</v>
      </c>
      <c r="C975" s="91" t="e">
        <f>(Gradesheet!#REF!)</f>
        <v>#REF!</v>
      </c>
      <c r="D975" s="92" t="e">
        <f>IF(Outline!$C$14&gt;0,Gradesheet!#REF!,Gradesheet!#REF!)</f>
        <v>#REF!</v>
      </c>
      <c r="E975" s="138" t="e">
        <f>IF(Outline!$C$14&gt;0,Gradesheet!#REF!,Gradesheet!#REF!)</f>
        <v>#REF!</v>
      </c>
      <c r="F975" s="138" t="e">
        <f>IF(Outline!$C$14&gt;0,Gradesheet!#REF!,"NA")</f>
        <v>#REF!</v>
      </c>
      <c r="G975" s="138" t="e">
        <f>IF(Outline!$C$14&gt;0,Gradesheet!#REF!,Gradesheet!#REF!)</f>
        <v>#REF!</v>
      </c>
      <c r="H975" s="139" t="e">
        <f t="shared" si="16"/>
        <v>#REF!</v>
      </c>
    </row>
    <row r="976" spans="2:8" hidden="1" x14ac:dyDescent="0.25">
      <c r="B976" s="90" t="e">
        <f>Gradesheet!#REF!</f>
        <v>#REF!</v>
      </c>
      <c r="C976" s="91" t="e">
        <f>(Gradesheet!#REF!)</f>
        <v>#REF!</v>
      </c>
      <c r="D976" s="92" t="e">
        <f>IF(Outline!$C$14&gt;0,Gradesheet!#REF!,Gradesheet!#REF!)</f>
        <v>#REF!</v>
      </c>
      <c r="E976" s="138" t="e">
        <f>IF(Outline!$C$14&gt;0,Gradesheet!#REF!,Gradesheet!#REF!)</f>
        <v>#REF!</v>
      </c>
      <c r="F976" s="138" t="e">
        <f>IF(Outline!$C$14&gt;0,Gradesheet!#REF!,"NA")</f>
        <v>#REF!</v>
      </c>
      <c r="G976" s="138" t="e">
        <f>IF(Outline!$C$14&gt;0,Gradesheet!#REF!,Gradesheet!#REF!)</f>
        <v>#REF!</v>
      </c>
      <c r="H976" s="139" t="e">
        <f t="shared" si="16"/>
        <v>#REF!</v>
      </c>
    </row>
    <row r="977" spans="2:8" hidden="1" x14ac:dyDescent="0.25">
      <c r="B977" s="90" t="e">
        <f>Gradesheet!#REF!</f>
        <v>#REF!</v>
      </c>
      <c r="C977" s="91" t="e">
        <f>(Gradesheet!#REF!)</f>
        <v>#REF!</v>
      </c>
      <c r="D977" s="92" t="e">
        <f>IF(Outline!$C$14&gt;0,Gradesheet!#REF!,Gradesheet!#REF!)</f>
        <v>#REF!</v>
      </c>
      <c r="E977" s="138" t="e">
        <f>IF(Outline!$C$14&gt;0,Gradesheet!#REF!,Gradesheet!#REF!)</f>
        <v>#REF!</v>
      </c>
      <c r="F977" s="138" t="e">
        <f>IF(Outline!$C$14&gt;0,Gradesheet!#REF!,"NA")</f>
        <v>#REF!</v>
      </c>
      <c r="G977" s="138" t="e">
        <f>IF(Outline!$C$14&gt;0,Gradesheet!#REF!,Gradesheet!#REF!)</f>
        <v>#REF!</v>
      </c>
      <c r="H977" s="139" t="e">
        <f t="shared" si="16"/>
        <v>#REF!</v>
      </c>
    </row>
    <row r="978" spans="2:8" hidden="1" x14ac:dyDescent="0.25">
      <c r="B978" s="90" t="e">
        <f>Gradesheet!#REF!</f>
        <v>#REF!</v>
      </c>
      <c r="C978" s="91" t="e">
        <f>(Gradesheet!#REF!)</f>
        <v>#REF!</v>
      </c>
      <c r="D978" s="92" t="e">
        <f>IF(Outline!$C$14&gt;0,Gradesheet!#REF!,Gradesheet!#REF!)</f>
        <v>#REF!</v>
      </c>
      <c r="E978" s="138" t="e">
        <f>IF(Outline!$C$14&gt;0,Gradesheet!#REF!,Gradesheet!#REF!)</f>
        <v>#REF!</v>
      </c>
      <c r="F978" s="138" t="e">
        <f>IF(Outline!$C$14&gt;0,Gradesheet!#REF!,"NA")</f>
        <v>#REF!</v>
      </c>
      <c r="G978" s="138" t="e">
        <f>IF(Outline!$C$14&gt;0,Gradesheet!#REF!,Gradesheet!#REF!)</f>
        <v>#REF!</v>
      </c>
      <c r="H978" s="139" t="e">
        <f t="shared" si="16"/>
        <v>#REF!</v>
      </c>
    </row>
    <row r="979" spans="2:8" hidden="1" x14ac:dyDescent="0.25">
      <c r="B979" s="90" t="e">
        <f>Gradesheet!#REF!</f>
        <v>#REF!</v>
      </c>
      <c r="C979" s="91" t="e">
        <f>(Gradesheet!#REF!)</f>
        <v>#REF!</v>
      </c>
      <c r="D979" s="92" t="e">
        <f>IF(Outline!$C$14&gt;0,Gradesheet!#REF!,Gradesheet!#REF!)</f>
        <v>#REF!</v>
      </c>
      <c r="E979" s="138" t="e">
        <f>IF(Outline!$C$14&gt;0,Gradesheet!#REF!,Gradesheet!#REF!)</f>
        <v>#REF!</v>
      </c>
      <c r="F979" s="138" t="e">
        <f>IF(Outline!$C$14&gt;0,Gradesheet!#REF!,"NA")</f>
        <v>#REF!</v>
      </c>
      <c r="G979" s="138" t="e">
        <f>IF(Outline!$C$14&gt;0,Gradesheet!#REF!,Gradesheet!#REF!)</f>
        <v>#REF!</v>
      </c>
      <c r="H979" s="139" t="e">
        <f t="shared" si="16"/>
        <v>#REF!</v>
      </c>
    </row>
    <row r="980" spans="2:8" hidden="1" x14ac:dyDescent="0.25">
      <c r="B980" s="90" t="e">
        <f>Gradesheet!#REF!</f>
        <v>#REF!</v>
      </c>
      <c r="C980" s="91" t="e">
        <f>(Gradesheet!#REF!)</f>
        <v>#REF!</v>
      </c>
      <c r="D980" s="92" t="e">
        <f>IF(Outline!$C$14&gt;0,Gradesheet!#REF!,Gradesheet!#REF!)</f>
        <v>#REF!</v>
      </c>
      <c r="E980" s="138" t="e">
        <f>IF(Outline!$C$14&gt;0,Gradesheet!#REF!,Gradesheet!#REF!)</f>
        <v>#REF!</v>
      </c>
      <c r="F980" s="138" t="e">
        <f>IF(Outline!$C$14&gt;0,Gradesheet!#REF!,"NA")</f>
        <v>#REF!</v>
      </c>
      <c r="G980" s="138" t="e">
        <f>IF(Outline!$C$14&gt;0,Gradesheet!#REF!,Gradesheet!#REF!)</f>
        <v>#REF!</v>
      </c>
      <c r="H980" s="139" t="e">
        <f t="shared" si="16"/>
        <v>#REF!</v>
      </c>
    </row>
    <row r="981" spans="2:8" hidden="1" x14ac:dyDescent="0.25">
      <c r="B981" s="90" t="e">
        <f>Gradesheet!#REF!</f>
        <v>#REF!</v>
      </c>
      <c r="C981" s="91" t="e">
        <f>(Gradesheet!#REF!)</f>
        <v>#REF!</v>
      </c>
      <c r="D981" s="92" t="e">
        <f>IF(Outline!$C$14&gt;0,Gradesheet!#REF!,Gradesheet!#REF!)</f>
        <v>#REF!</v>
      </c>
      <c r="E981" s="138" t="e">
        <f>IF(Outline!$C$14&gt;0,Gradesheet!#REF!,Gradesheet!#REF!)</f>
        <v>#REF!</v>
      </c>
      <c r="F981" s="138" t="e">
        <f>IF(Outline!$C$14&gt;0,Gradesheet!#REF!,"NA")</f>
        <v>#REF!</v>
      </c>
      <c r="G981" s="138" t="e">
        <f>IF(Outline!$C$14&gt;0,Gradesheet!#REF!,Gradesheet!#REF!)</f>
        <v>#REF!</v>
      </c>
      <c r="H981" s="139" t="e">
        <f t="shared" si="16"/>
        <v>#REF!</v>
      </c>
    </row>
    <row r="982" spans="2:8" hidden="1" x14ac:dyDescent="0.25">
      <c r="B982" s="90" t="e">
        <f>Gradesheet!#REF!</f>
        <v>#REF!</v>
      </c>
      <c r="C982" s="91" t="e">
        <f>(Gradesheet!#REF!)</f>
        <v>#REF!</v>
      </c>
      <c r="D982" s="92" t="e">
        <f>IF(Outline!$C$14&gt;0,Gradesheet!#REF!,Gradesheet!#REF!)</f>
        <v>#REF!</v>
      </c>
      <c r="E982" s="138" t="e">
        <f>IF(Outline!$C$14&gt;0,Gradesheet!#REF!,Gradesheet!#REF!)</f>
        <v>#REF!</v>
      </c>
      <c r="F982" s="138" t="e">
        <f>IF(Outline!$C$14&gt;0,Gradesheet!#REF!,"NA")</f>
        <v>#REF!</v>
      </c>
      <c r="G982" s="138" t="e">
        <f>IF(Outline!$C$14&gt;0,Gradesheet!#REF!,Gradesheet!#REF!)</f>
        <v>#REF!</v>
      </c>
      <c r="H982" s="139" t="e">
        <f t="shared" si="16"/>
        <v>#REF!</v>
      </c>
    </row>
    <row r="983" spans="2:8" hidden="1" x14ac:dyDescent="0.25">
      <c r="B983" s="90">
        <f>Gradesheet!A51</f>
        <v>0</v>
      </c>
      <c r="C983" s="91">
        <f>(Gradesheet!B51)</f>
        <v>0</v>
      </c>
      <c r="D983" s="92">
        <f>IF(Outline!$C$14&gt;0,Gradesheet!AD51,Gradesheet!AK51)</f>
        <v>0</v>
      </c>
      <c r="E983" s="138">
        <f>IF(Outline!$C$14&gt;0,Gradesheet!L51,Gradesheet!AR51)</f>
        <v>0</v>
      </c>
      <c r="F983" s="138">
        <f>IF(Outline!$C$14&gt;0,Gradesheet!AZ51,"NA")</f>
        <v>0</v>
      </c>
      <c r="G983" s="138" t="e">
        <f>IF(Outline!$C$14&gt;0,Gradesheet!#REF!,Gradesheet!#REF!)</f>
        <v>#REF!</v>
      </c>
      <c r="H983" s="139" t="e">
        <f t="shared" si="16"/>
        <v>#REF!</v>
      </c>
    </row>
    <row r="984" spans="2:8" hidden="1" x14ac:dyDescent="0.25">
      <c r="B984" s="90">
        <f>Gradesheet!A52</f>
        <v>0</v>
      </c>
      <c r="C984" s="91">
        <f>(Gradesheet!B52)</f>
        <v>0</v>
      </c>
      <c r="D984" s="92">
        <f>IF(Outline!$C$14&gt;0,Gradesheet!AD52,Gradesheet!AK52)</f>
        <v>0</v>
      </c>
      <c r="E984" s="138">
        <f>IF(Outline!$C$14&gt;0,Gradesheet!L52,Gradesheet!AR52)</f>
        <v>0</v>
      </c>
      <c r="F984" s="138">
        <f>IF(Outline!$C$14&gt;0,Gradesheet!AZ52,"NA")</f>
        <v>0</v>
      </c>
      <c r="G984" s="138" t="e">
        <f>IF(Outline!$C$14&gt;0,Gradesheet!#REF!,Gradesheet!#REF!)</f>
        <v>#REF!</v>
      </c>
      <c r="H984" s="139" t="e">
        <f t="shared" si="16"/>
        <v>#REF!</v>
      </c>
    </row>
    <row r="985" spans="2:8" hidden="1" x14ac:dyDescent="0.25">
      <c r="B985" s="90">
        <f>Gradesheet!A53</f>
        <v>0</v>
      </c>
      <c r="C985" s="91">
        <f>(Gradesheet!B53)</f>
        <v>0</v>
      </c>
      <c r="D985" s="92">
        <f>IF(Outline!$C$14&gt;0,Gradesheet!AD53,Gradesheet!AK53)</f>
        <v>0</v>
      </c>
      <c r="E985" s="138">
        <f>IF(Outline!$C$14&gt;0,Gradesheet!L53,Gradesheet!AR53)</f>
        <v>0</v>
      </c>
      <c r="F985" s="138">
        <f>IF(Outline!$C$14&gt;0,Gradesheet!AZ53,"NA")</f>
        <v>0</v>
      </c>
      <c r="G985" s="138" t="e">
        <f>IF(Outline!$C$14&gt;0,Gradesheet!#REF!,Gradesheet!#REF!)</f>
        <v>#REF!</v>
      </c>
      <c r="H985" s="139" t="e">
        <f t="shared" si="16"/>
        <v>#REF!</v>
      </c>
    </row>
    <row r="986" spans="2:8" hidden="1" x14ac:dyDescent="0.25">
      <c r="B986" s="90">
        <f>Gradesheet!A54</f>
        <v>0</v>
      </c>
      <c r="C986" s="91">
        <f>(Gradesheet!B54)</f>
        <v>0</v>
      </c>
      <c r="D986" s="92">
        <f>IF(Outline!$C$14&gt;0,Gradesheet!AD54,Gradesheet!AK54)</f>
        <v>0</v>
      </c>
      <c r="E986" s="138">
        <f>IF(Outline!$C$14&gt;0,Gradesheet!L54,Gradesheet!AR54)</f>
        <v>0</v>
      </c>
      <c r="F986" s="138">
        <f>IF(Outline!$C$14&gt;0,Gradesheet!AZ54,"NA")</f>
        <v>0</v>
      </c>
      <c r="G986" s="138" t="e">
        <f>IF(Outline!$C$14&gt;0,Gradesheet!#REF!,Gradesheet!#REF!)</f>
        <v>#REF!</v>
      </c>
      <c r="H986" s="139" t="e">
        <f t="shared" si="16"/>
        <v>#REF!</v>
      </c>
    </row>
    <row r="987" spans="2:8" hidden="1" x14ac:dyDescent="0.25">
      <c r="B987" s="90">
        <f>Gradesheet!A55</f>
        <v>0</v>
      </c>
      <c r="C987" s="91">
        <f>(Gradesheet!B55)</f>
        <v>0</v>
      </c>
      <c r="D987" s="92">
        <f>IF(Outline!$C$14&gt;0,Gradesheet!AD55,Gradesheet!AK55)</f>
        <v>0</v>
      </c>
      <c r="E987" s="138">
        <f>IF(Outline!$C$14&gt;0,Gradesheet!L55,Gradesheet!AR55)</f>
        <v>0</v>
      </c>
      <c r="F987" s="138">
        <f>IF(Outline!$C$14&gt;0,Gradesheet!AZ55,"NA")</f>
        <v>0</v>
      </c>
      <c r="G987" s="138" t="e">
        <f>IF(Outline!$C$14&gt;0,Gradesheet!#REF!,Gradesheet!#REF!)</f>
        <v>#REF!</v>
      </c>
      <c r="H987" s="139" t="e">
        <f t="shared" si="16"/>
        <v>#REF!</v>
      </c>
    </row>
    <row r="988" spans="2:8" hidden="1" x14ac:dyDescent="0.25">
      <c r="B988" s="90">
        <f>Gradesheet!A56</f>
        <v>0</v>
      </c>
      <c r="C988" s="91">
        <f>(Gradesheet!B56)</f>
        <v>0</v>
      </c>
      <c r="D988" s="92">
        <f>IF(Outline!$C$14&gt;0,Gradesheet!AD56,Gradesheet!AK56)</f>
        <v>0</v>
      </c>
      <c r="E988" s="138">
        <f>IF(Outline!$C$14&gt;0,Gradesheet!L56,Gradesheet!AR56)</f>
        <v>0</v>
      </c>
      <c r="F988" s="138">
        <f>IF(Outline!$C$14&gt;0,Gradesheet!AZ56,"NA")</f>
        <v>0</v>
      </c>
      <c r="G988" s="138" t="e">
        <f>IF(Outline!$C$14&gt;0,Gradesheet!#REF!,Gradesheet!#REF!)</f>
        <v>#REF!</v>
      </c>
      <c r="H988" s="139" t="e">
        <f t="shared" si="16"/>
        <v>#REF!</v>
      </c>
    </row>
    <row r="989" spans="2:8" hidden="1" x14ac:dyDescent="0.25">
      <c r="B989" s="90">
        <f>Gradesheet!A57</f>
        <v>0</v>
      </c>
      <c r="C989" s="91">
        <f>(Gradesheet!B57)</f>
        <v>0</v>
      </c>
      <c r="D989" s="92">
        <f>IF(Outline!$C$14&gt;0,Gradesheet!AD57,Gradesheet!AK57)</f>
        <v>0</v>
      </c>
      <c r="E989" s="138">
        <f>IF(Outline!$C$14&gt;0,Gradesheet!L57,Gradesheet!AR57)</f>
        <v>0</v>
      </c>
      <c r="F989" s="138">
        <f>IF(Outline!$C$14&gt;0,Gradesheet!AZ57,"NA")</f>
        <v>0</v>
      </c>
      <c r="G989" s="138" t="e">
        <f>IF(Outline!$C$14&gt;0,Gradesheet!#REF!,Gradesheet!#REF!)</f>
        <v>#REF!</v>
      </c>
      <c r="H989" s="139" t="e">
        <f t="shared" si="16"/>
        <v>#REF!</v>
      </c>
    </row>
    <row r="990" spans="2:8" hidden="1" x14ac:dyDescent="0.25">
      <c r="B990" s="90">
        <f>Gradesheet!A58</f>
        <v>0</v>
      </c>
      <c r="C990" s="91">
        <f>(Gradesheet!B58)</f>
        <v>0</v>
      </c>
      <c r="D990" s="92">
        <f>IF(Outline!$C$14&gt;0,Gradesheet!AD58,Gradesheet!AK58)</f>
        <v>0</v>
      </c>
      <c r="E990" s="138">
        <f>IF(Outline!$C$14&gt;0,Gradesheet!L58,Gradesheet!AR58)</f>
        <v>0</v>
      </c>
      <c r="F990" s="138">
        <f>IF(Outline!$C$14&gt;0,Gradesheet!AZ58,"NA")</f>
        <v>0</v>
      </c>
      <c r="G990" s="138" t="e">
        <f>IF(Outline!$C$14&gt;0,Gradesheet!#REF!,Gradesheet!#REF!)</f>
        <v>#REF!</v>
      </c>
      <c r="H990" s="139" t="e">
        <f t="shared" si="16"/>
        <v>#REF!</v>
      </c>
    </row>
    <row r="991" spans="2:8" hidden="1" x14ac:dyDescent="0.25">
      <c r="B991" s="90">
        <f>Gradesheet!A59</f>
        <v>0</v>
      </c>
      <c r="C991" s="91">
        <f>(Gradesheet!B59)</f>
        <v>0</v>
      </c>
      <c r="D991" s="92">
        <f>IF(Outline!$C$14&gt;0,Gradesheet!AD59,Gradesheet!AK59)</f>
        <v>0</v>
      </c>
      <c r="E991" s="138">
        <f>IF(Outline!$C$14&gt;0,Gradesheet!L59,Gradesheet!AR59)</f>
        <v>0</v>
      </c>
      <c r="F991" s="138">
        <f>IF(Outline!$C$14&gt;0,Gradesheet!AZ59,"NA")</f>
        <v>0</v>
      </c>
      <c r="G991" s="138" t="e">
        <f>IF(Outline!$C$14&gt;0,Gradesheet!#REF!,Gradesheet!#REF!)</f>
        <v>#REF!</v>
      </c>
      <c r="H991" s="139" t="e">
        <f t="shared" si="16"/>
        <v>#REF!</v>
      </c>
    </row>
    <row r="992" spans="2:8" hidden="1" x14ac:dyDescent="0.25">
      <c r="B992" s="90">
        <f>Gradesheet!A60</f>
        <v>0</v>
      </c>
      <c r="C992" s="91">
        <f>(Gradesheet!B60)</f>
        <v>0</v>
      </c>
      <c r="D992" s="92">
        <f>IF(Outline!$C$14&gt;0,Gradesheet!AD60,Gradesheet!AK60)</f>
        <v>0</v>
      </c>
      <c r="E992" s="138">
        <f>IF(Outline!$C$14&gt;0,Gradesheet!L60,Gradesheet!AR60)</f>
        <v>0</v>
      </c>
      <c r="F992" s="138">
        <f>IF(Outline!$C$14&gt;0,Gradesheet!AZ60,"NA")</f>
        <v>0</v>
      </c>
      <c r="G992" s="138" t="e">
        <f>IF(Outline!$C$14&gt;0,Gradesheet!#REF!,Gradesheet!#REF!)</f>
        <v>#REF!</v>
      </c>
      <c r="H992" s="139" t="e">
        <f t="shared" si="16"/>
        <v>#REF!</v>
      </c>
    </row>
    <row r="993" spans="2:8" hidden="1" x14ac:dyDescent="0.25">
      <c r="B993" s="90">
        <f>Gradesheet!A61</f>
        <v>0</v>
      </c>
      <c r="C993" s="91">
        <f>(Gradesheet!B61)</f>
        <v>0</v>
      </c>
      <c r="D993" s="92">
        <f>IF(Outline!$C$14&gt;0,Gradesheet!AD61,Gradesheet!AK61)</f>
        <v>0</v>
      </c>
      <c r="E993" s="138">
        <f>IF(Outline!$C$14&gt;0,Gradesheet!L61,Gradesheet!AR61)</f>
        <v>0</v>
      </c>
      <c r="F993" s="138">
        <f>IF(Outline!$C$14&gt;0,Gradesheet!AZ61,"NA")</f>
        <v>0</v>
      </c>
      <c r="G993" s="138" t="e">
        <f>IF(Outline!$C$14&gt;0,Gradesheet!#REF!,Gradesheet!#REF!)</f>
        <v>#REF!</v>
      </c>
      <c r="H993" s="139" t="e">
        <f t="shared" si="16"/>
        <v>#REF!</v>
      </c>
    </row>
    <row r="994" spans="2:8" hidden="1" x14ac:dyDescent="0.25">
      <c r="B994" s="90">
        <f>Gradesheet!A62</f>
        <v>0</v>
      </c>
      <c r="C994" s="91">
        <f>(Gradesheet!B62)</f>
        <v>0</v>
      </c>
      <c r="D994" s="92">
        <f>IF(Outline!$C$14&gt;0,Gradesheet!AD62,Gradesheet!AK62)</f>
        <v>0</v>
      </c>
      <c r="E994" s="138">
        <f>IF(Outline!$C$14&gt;0,Gradesheet!L62,Gradesheet!AR62)</f>
        <v>0</v>
      </c>
      <c r="F994" s="138">
        <f>IF(Outline!$C$14&gt;0,Gradesheet!AZ62,"NA")</f>
        <v>0</v>
      </c>
      <c r="G994" s="138" t="e">
        <f>IF(Outline!$C$14&gt;0,Gradesheet!#REF!,Gradesheet!#REF!)</f>
        <v>#REF!</v>
      </c>
      <c r="H994" s="139" t="e">
        <f t="shared" si="16"/>
        <v>#REF!</v>
      </c>
    </row>
    <row r="995" spans="2:8" hidden="1" x14ac:dyDescent="0.25">
      <c r="B995" s="90">
        <f>Gradesheet!A63</f>
        <v>0</v>
      </c>
      <c r="C995" s="91">
        <f>(Gradesheet!B63)</f>
        <v>0</v>
      </c>
      <c r="D995" s="92">
        <f>IF(Outline!$C$14&gt;0,Gradesheet!AD63,Gradesheet!AK63)</f>
        <v>0</v>
      </c>
      <c r="E995" s="138">
        <f>IF(Outline!$C$14&gt;0,Gradesheet!L63,Gradesheet!AR63)</f>
        <v>0</v>
      </c>
      <c r="F995" s="138">
        <f>IF(Outline!$C$14&gt;0,Gradesheet!AZ63,"NA")</f>
        <v>0</v>
      </c>
      <c r="G995" s="138" t="e">
        <f>IF(Outline!$C$14&gt;0,Gradesheet!#REF!,Gradesheet!#REF!)</f>
        <v>#REF!</v>
      </c>
      <c r="H995" s="139" t="e">
        <f t="shared" si="16"/>
        <v>#REF!</v>
      </c>
    </row>
    <row r="996" spans="2:8" hidden="1" x14ac:dyDescent="0.25">
      <c r="B996" s="90">
        <f>Gradesheet!A64</f>
        <v>0</v>
      </c>
      <c r="C996" s="91">
        <f>(Gradesheet!B64)</f>
        <v>0</v>
      </c>
      <c r="D996" s="92">
        <f>IF(Outline!$C$14&gt;0,Gradesheet!AD64,Gradesheet!AK64)</f>
        <v>0</v>
      </c>
      <c r="E996" s="138">
        <f>IF(Outline!$C$14&gt;0,Gradesheet!L64,Gradesheet!AR64)</f>
        <v>0</v>
      </c>
      <c r="F996" s="138">
        <f>IF(Outline!$C$14&gt;0,Gradesheet!AZ64,"NA")</f>
        <v>0</v>
      </c>
      <c r="G996" s="138" t="e">
        <f>IF(Outline!$C$14&gt;0,Gradesheet!#REF!,Gradesheet!#REF!)</f>
        <v>#REF!</v>
      </c>
      <c r="H996" s="139" t="e">
        <f t="shared" si="16"/>
        <v>#REF!</v>
      </c>
    </row>
    <row r="997" spans="2:8" hidden="1" x14ac:dyDescent="0.25">
      <c r="B997" s="90">
        <f>Gradesheet!A65</f>
        <v>0</v>
      </c>
      <c r="C997" s="91">
        <f>(Gradesheet!B65)</f>
        <v>0</v>
      </c>
      <c r="D997" s="92">
        <f>IF(Outline!$C$14&gt;0,Gradesheet!AD65,Gradesheet!AK65)</f>
        <v>0</v>
      </c>
      <c r="E997" s="138">
        <f>IF(Outline!$C$14&gt;0,Gradesheet!L65,Gradesheet!AR65)</f>
        <v>0</v>
      </c>
      <c r="F997" s="138">
        <f>IF(Outline!$C$14&gt;0,Gradesheet!AZ65,"NA")</f>
        <v>0</v>
      </c>
      <c r="G997" s="138" t="e">
        <f>IF(Outline!$C$14&gt;0,Gradesheet!#REF!,Gradesheet!#REF!)</f>
        <v>#REF!</v>
      </c>
      <c r="H997" s="139" t="e">
        <f t="shared" si="16"/>
        <v>#REF!</v>
      </c>
    </row>
    <row r="998" spans="2:8" hidden="1" x14ac:dyDescent="0.25">
      <c r="B998" s="90">
        <f>Gradesheet!A66</f>
        <v>0</v>
      </c>
      <c r="C998" s="91">
        <f>(Gradesheet!B66)</f>
        <v>0</v>
      </c>
      <c r="D998" s="92">
        <f>IF(Outline!$C$14&gt;0,Gradesheet!AD66,Gradesheet!AK66)</f>
        <v>0</v>
      </c>
      <c r="E998" s="138">
        <f>IF(Outline!$C$14&gt;0,Gradesheet!L66,Gradesheet!AR66)</f>
        <v>0</v>
      </c>
      <c r="F998" s="138">
        <f>IF(Outline!$C$14&gt;0,Gradesheet!AZ66,"NA")</f>
        <v>0</v>
      </c>
      <c r="G998" s="138" t="e">
        <f>IF(Outline!$C$14&gt;0,Gradesheet!#REF!,Gradesheet!#REF!)</f>
        <v>#REF!</v>
      </c>
      <c r="H998" s="139" t="e">
        <f t="shared" si="16"/>
        <v>#REF!</v>
      </c>
    </row>
    <row r="999" spans="2:8" hidden="1" x14ac:dyDescent="0.25">
      <c r="B999" s="90">
        <f>Gradesheet!A67</f>
        <v>0</v>
      </c>
      <c r="C999" s="91">
        <f>(Gradesheet!B67)</f>
        <v>0</v>
      </c>
      <c r="D999" s="92">
        <f>IF(Outline!$C$14&gt;0,Gradesheet!AD67,Gradesheet!AK67)</f>
        <v>0</v>
      </c>
      <c r="E999" s="138">
        <f>IF(Outline!$C$14&gt;0,Gradesheet!L67,Gradesheet!AR67)</f>
        <v>0</v>
      </c>
      <c r="F999" s="138">
        <f>IF(Outline!$C$14&gt;0,Gradesheet!AZ67,"NA")</f>
        <v>0</v>
      </c>
      <c r="G999" s="138" t="e">
        <f>IF(Outline!$C$14&gt;0,Gradesheet!#REF!,Gradesheet!#REF!)</f>
        <v>#REF!</v>
      </c>
      <c r="H999" s="139" t="e">
        <f t="shared" si="16"/>
        <v>#REF!</v>
      </c>
    </row>
    <row r="1000" spans="2:8" hidden="1" x14ac:dyDescent="0.25">
      <c r="B1000" s="90">
        <f>Gradesheet!A68</f>
        <v>0</v>
      </c>
      <c r="C1000" s="91">
        <f>(Gradesheet!B68)</f>
        <v>0</v>
      </c>
      <c r="D1000" s="92">
        <f>IF(Outline!$C$14&gt;0,Gradesheet!AD68,Gradesheet!AK68)</f>
        <v>0</v>
      </c>
      <c r="E1000" s="138">
        <f>IF(Outline!$C$14&gt;0,Gradesheet!L68,Gradesheet!AR68)</f>
        <v>0</v>
      </c>
      <c r="F1000" s="138">
        <f>IF(Outline!$C$14&gt;0,Gradesheet!AZ68,"NA")</f>
        <v>0</v>
      </c>
      <c r="G1000" s="138" t="e">
        <f>IF(Outline!$C$14&gt;0,Gradesheet!#REF!,Gradesheet!#REF!)</f>
        <v>#REF!</v>
      </c>
      <c r="H1000" s="139" t="e">
        <f t="shared" si="16"/>
        <v>#REF!</v>
      </c>
    </row>
  </sheetData>
  <mergeCells count="12">
    <mergeCell ref="D4:H4"/>
    <mergeCell ref="A1:H1"/>
    <mergeCell ref="A2:H2"/>
    <mergeCell ref="A3:H3"/>
    <mergeCell ref="B4:C4"/>
    <mergeCell ref="B9:B10"/>
    <mergeCell ref="C9:C10"/>
    <mergeCell ref="F6:H6"/>
    <mergeCell ref="B5:E5"/>
    <mergeCell ref="B6:E6"/>
    <mergeCell ref="B7:E7"/>
    <mergeCell ref="F5:H5"/>
  </mergeCells>
  <pageMargins left="0.7" right="0.7" top="0.75" bottom="0.75" header="0.3" footer="0.3"/>
  <pageSetup paperSize="9" orientation="portrait" r:id="rId1"/>
  <headerFooter>
    <oddFooter>&amp;LTeacher's Signature: ________________&amp;CPage &amp;P of &amp;N&amp;RChairman Signature: _______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4:N53"/>
  <sheetViews>
    <sheetView workbookViewId="0">
      <selection activeCell="C5" sqref="C5"/>
    </sheetView>
  </sheetViews>
  <sheetFormatPr defaultRowHeight="15" x14ac:dyDescent="0.25"/>
  <cols>
    <col min="2" max="2" width="28.42578125" customWidth="1"/>
  </cols>
  <sheetData>
    <row r="4" spans="1:14" ht="16.5" thickBot="1" x14ac:dyDescent="0.3">
      <c r="A4" s="84" t="s">
        <v>101</v>
      </c>
      <c r="B4" s="84" t="s">
        <v>2</v>
      </c>
      <c r="C4" s="85" t="s">
        <v>109</v>
      </c>
      <c r="D4" s="85" t="s">
        <v>118</v>
      </c>
      <c r="E4" s="85" t="s">
        <v>119</v>
      </c>
      <c r="F4" s="85" t="s">
        <v>110</v>
      </c>
      <c r="G4" s="85" t="s">
        <v>111</v>
      </c>
      <c r="H4" s="85" t="s">
        <v>112</v>
      </c>
      <c r="I4" s="85" t="s">
        <v>113</v>
      </c>
      <c r="J4" s="85" t="s">
        <v>114</v>
      </c>
      <c r="K4" s="85" t="s">
        <v>120</v>
      </c>
      <c r="L4" s="85" t="s">
        <v>115</v>
      </c>
      <c r="M4" s="85" t="s">
        <v>116</v>
      </c>
      <c r="N4" s="85" t="s">
        <v>117</v>
      </c>
    </row>
    <row r="5" spans="1:14" ht="16.5" thickBot="1" x14ac:dyDescent="0.3">
      <c r="A5" s="88" t="str">
        <f>(Gradesheet!B9)</f>
        <v>18CS01</v>
      </c>
      <c r="B5" s="89">
        <f>Gradesheet!C9</f>
        <v>0</v>
      </c>
      <c r="C5" s="87" t="e">
        <f>IF(VLOOKUP(A5,#REF!,3,FALSE)="", "X",IF(VLOOKUP(A5,#REF!,3,FALSE)&gt;50,"Y","N"))</f>
        <v>#REF!</v>
      </c>
      <c r="D5" s="87" t="e">
        <f>IF(VLOOKUP(A5,#REF!,4,FALSE)= "", "X",IF(VLOOKUP(A5,#REF!,4,FALSE)&gt;50,"Y","N"))</f>
        <v>#REF!</v>
      </c>
      <c r="E5" s="87" t="e">
        <f>IF(VLOOKUP(A5,#REF!,5,FALSE)= "", "X",IF(VLOOKUP(A5,#REF!,5,FALSE)&gt;50,"Y","N"))</f>
        <v>#REF!</v>
      </c>
      <c r="F5" s="87" t="e">
        <f>IF(VLOOKUP(A5,#REF!,6,FALSE)= "", "X",IF(VLOOKUP(A5,#REF!,6,FALSE)&gt;50,"Y","N"))</f>
        <v>#REF!</v>
      </c>
      <c r="G5" s="87" t="e">
        <f>IF(VLOOKUP(A5,#REF!,7,FALSE)= "", "X",IF(VLOOKUP(A5,#REF!,7,FALSE)&gt;50,"Y","N"))</f>
        <v>#REF!</v>
      </c>
      <c r="H5" s="87" t="e">
        <f>IF(VLOOKUP(A5,#REF!,8,FALSE)= "", "X",IF(VLOOKUP(A5,#REF!,8,FALSE)&gt;50,"Y","N"))</f>
        <v>#REF!</v>
      </c>
      <c r="I5" s="87" t="e">
        <f>IF(VLOOKUP(A5,#REF!,9,FALSE)= "", "X",IF(VLOOKUP(A5,#REF!,9,FALSE)&gt;50,"Y","N"))</f>
        <v>#REF!</v>
      </c>
      <c r="J5" s="87" t="e">
        <f>IF(VLOOKUP(A5,#REF!,10,FALSE)= "", "X",IF(VLOOKUP(A5,#REF!,10,FALSE)&gt;50,"Y","N"))</f>
        <v>#REF!</v>
      </c>
      <c r="K5" s="87" t="e">
        <f>IF(VLOOKUP(A5,#REF!,11,FALSE)= "", "X",IF(VLOOKUP(A5,#REF!,11,FALSE)&gt;50,"Y","N"))</f>
        <v>#REF!</v>
      </c>
      <c r="L5" s="87" t="e">
        <f>IF(VLOOKUP(A5,#REF!,12,FALSE)= "", "X",IF(VLOOKUP(A5,#REF!,12,FALSE)&gt;50,"Y","N"))</f>
        <v>#REF!</v>
      </c>
      <c r="M5" s="87" t="e">
        <f>IF(VLOOKUP(A5,#REF!,13,FALSE)= "", "X",IF(VLOOKUP(A5,#REF!,13,FALSE)&gt;50,"Y","N"))</f>
        <v>#REF!</v>
      </c>
      <c r="N5" s="87" t="e">
        <f>IF(VLOOKUP(A5,#REF!,14,FALSE)= "", "X",IF(VLOOKUP(A5,#REF!,14,FALSE)&gt;50,"Y","N"))</f>
        <v>#REF!</v>
      </c>
    </row>
    <row r="6" spans="1:14" ht="16.5" thickBot="1" x14ac:dyDescent="0.3">
      <c r="A6" s="88" t="str">
        <f>(Gradesheet!B10)</f>
        <v>18CS03</v>
      </c>
      <c r="B6" s="89">
        <f>Gradesheet!C10</f>
        <v>0</v>
      </c>
      <c r="C6" s="87" t="e">
        <f>IF(VLOOKUP(A6,#REF!,3,FALSE)="", "X",IF(VLOOKUP(A6,#REF!,3,FALSE)&gt;50,"Y","N"))</f>
        <v>#REF!</v>
      </c>
      <c r="D6" s="87" t="e">
        <f>IF(VLOOKUP(A6,#REF!,4,FALSE)= "", "X",IF(VLOOKUP(A6,#REF!,4,FALSE)&gt;50,"Y","N"))</f>
        <v>#REF!</v>
      </c>
      <c r="E6" s="87" t="e">
        <f>IF(VLOOKUP(A6,#REF!,5,FALSE)= "", "X",IF(VLOOKUP(A6,#REF!,5,FALSE)&gt;50,"Y","N"))</f>
        <v>#REF!</v>
      </c>
      <c r="F6" s="87" t="e">
        <f>IF(VLOOKUP(A6,#REF!,6,FALSE)= "", "X",IF(VLOOKUP(A6,#REF!,6,FALSE)&gt;50,"Y","N"))</f>
        <v>#REF!</v>
      </c>
      <c r="G6" s="87" t="e">
        <f>IF(VLOOKUP(A6,#REF!,7,FALSE)= "", "X",IF(VLOOKUP(A6,#REF!,7,FALSE)&gt;50,"Y","N"))</f>
        <v>#REF!</v>
      </c>
      <c r="H6" s="87" t="e">
        <f>IF(VLOOKUP(A6,#REF!,8,FALSE)= "", "X",IF(VLOOKUP(A6,#REF!,8,FALSE)&gt;50,"Y","N"))</f>
        <v>#REF!</v>
      </c>
      <c r="I6" s="87" t="e">
        <f>IF(VLOOKUP(A6,#REF!,9,FALSE)= "", "X",IF(VLOOKUP(A6,#REF!,9,FALSE)&gt;50,"Y","N"))</f>
        <v>#REF!</v>
      </c>
      <c r="J6" s="87" t="e">
        <f>IF(VLOOKUP(A6,#REF!,10,FALSE)= "", "X",IF(VLOOKUP(A6,#REF!,10,FALSE)&gt;50,"Y","N"))</f>
        <v>#REF!</v>
      </c>
      <c r="K6" s="87" t="e">
        <f>IF(VLOOKUP(A6,#REF!,11,FALSE)= "", "X",IF(VLOOKUP(A6,#REF!,11,FALSE)&gt;50,"Y","N"))</f>
        <v>#REF!</v>
      </c>
      <c r="L6" s="87" t="e">
        <f>IF(VLOOKUP(A6,#REF!,12,FALSE)= "", "X",IF(VLOOKUP(A6,#REF!,12,FALSE)&gt;50,"Y","N"))</f>
        <v>#REF!</v>
      </c>
      <c r="M6" s="87" t="e">
        <f>IF(VLOOKUP(A6,#REF!,13,FALSE)= "", "X",IF(VLOOKUP(A6,#REF!,13,FALSE)&gt;50,"Y","N"))</f>
        <v>#REF!</v>
      </c>
      <c r="N6" s="87" t="e">
        <f>IF(VLOOKUP(A6,#REF!,14,FALSE)= "", "X",IF(VLOOKUP(A6,#REF!,14,FALSE)&gt;50,"Y","N"))</f>
        <v>#REF!</v>
      </c>
    </row>
    <row r="7" spans="1:14" ht="16.5" thickBot="1" x14ac:dyDescent="0.3">
      <c r="A7" s="88" t="str">
        <f>(Gradesheet!B11)</f>
        <v>18CS04</v>
      </c>
      <c r="B7" s="89">
        <f>Gradesheet!C11</f>
        <v>0</v>
      </c>
      <c r="C7" s="87" t="e">
        <f>IF(VLOOKUP(A7,#REF!,3,FALSE)="", "X",IF(VLOOKUP(A7,#REF!,3,FALSE)&gt;50,"Y","N"))</f>
        <v>#REF!</v>
      </c>
      <c r="D7" s="87" t="e">
        <f>IF(VLOOKUP(A7,#REF!,4,FALSE)= "", "X",IF(VLOOKUP(A7,#REF!,4,FALSE)&gt;50,"Y","N"))</f>
        <v>#REF!</v>
      </c>
      <c r="E7" s="87" t="e">
        <f>IF(VLOOKUP(A7,#REF!,5,FALSE)= "", "X",IF(VLOOKUP(A7,#REF!,5,FALSE)&gt;50,"Y","N"))</f>
        <v>#REF!</v>
      </c>
      <c r="F7" s="87" t="e">
        <f>IF(VLOOKUP(A7,#REF!,6,FALSE)= "", "X",IF(VLOOKUP(A7,#REF!,6,FALSE)&gt;50,"Y","N"))</f>
        <v>#REF!</v>
      </c>
      <c r="G7" s="87" t="e">
        <f>IF(VLOOKUP(A7,#REF!,7,FALSE)= "", "X",IF(VLOOKUP(A7,#REF!,7,FALSE)&gt;50,"Y","N"))</f>
        <v>#REF!</v>
      </c>
      <c r="H7" s="87" t="e">
        <f>IF(VLOOKUP(A7,#REF!,8,FALSE)= "", "X",IF(VLOOKUP(A7,#REF!,8,FALSE)&gt;50,"Y","N"))</f>
        <v>#REF!</v>
      </c>
      <c r="I7" s="87" t="e">
        <f>IF(VLOOKUP(A7,#REF!,9,FALSE)= "", "X",IF(VLOOKUP(A7,#REF!,9,FALSE)&gt;50,"Y","N"))</f>
        <v>#REF!</v>
      </c>
      <c r="J7" s="87" t="e">
        <f>IF(VLOOKUP(A7,#REF!,10,FALSE)= "", "X",IF(VLOOKUP(A7,#REF!,10,FALSE)&gt;50,"Y","N"))</f>
        <v>#REF!</v>
      </c>
      <c r="K7" s="87" t="e">
        <f>IF(VLOOKUP(A7,#REF!,11,FALSE)= "", "X",IF(VLOOKUP(A7,#REF!,11,FALSE)&gt;50,"Y","N"))</f>
        <v>#REF!</v>
      </c>
      <c r="L7" s="87" t="e">
        <f>IF(VLOOKUP(A7,#REF!,12,FALSE)= "", "X",IF(VLOOKUP(A7,#REF!,12,FALSE)&gt;50,"Y","N"))</f>
        <v>#REF!</v>
      </c>
      <c r="M7" s="87" t="e">
        <f>IF(VLOOKUP(A7,#REF!,13,FALSE)= "", "X",IF(VLOOKUP(A7,#REF!,13,FALSE)&gt;50,"Y","N"))</f>
        <v>#REF!</v>
      </c>
      <c r="N7" s="87" t="e">
        <f>IF(VLOOKUP(A7,#REF!,14,FALSE)= "", "X",IF(VLOOKUP(A7,#REF!,14,FALSE)&gt;50,"Y","N"))</f>
        <v>#REF!</v>
      </c>
    </row>
    <row r="8" spans="1:14" ht="16.5" thickBot="1" x14ac:dyDescent="0.3">
      <c r="A8" s="88" t="str">
        <f>(Gradesheet!B12)</f>
        <v>18CS05</v>
      </c>
      <c r="B8" s="89">
        <f>Gradesheet!C12</f>
        <v>0</v>
      </c>
      <c r="C8" s="87" t="e">
        <f>IF(VLOOKUP(A8,#REF!,3,FALSE)="", "X",IF(VLOOKUP(A8,#REF!,3,FALSE)&gt;50,"Y","N"))</f>
        <v>#REF!</v>
      </c>
      <c r="D8" s="87" t="e">
        <f>IF(VLOOKUP(A8,#REF!,4,FALSE)= "", "X",IF(VLOOKUP(A8,#REF!,4,FALSE)&gt;50,"Y","N"))</f>
        <v>#REF!</v>
      </c>
      <c r="E8" s="87" t="e">
        <f>IF(VLOOKUP(A8,#REF!,5,FALSE)= "", "X",IF(VLOOKUP(A8,#REF!,5,FALSE)&gt;50,"Y","N"))</f>
        <v>#REF!</v>
      </c>
      <c r="F8" s="87" t="e">
        <f>IF(VLOOKUP(A8,#REF!,6,FALSE)= "", "X",IF(VLOOKUP(A8,#REF!,6,FALSE)&gt;50,"Y","N"))</f>
        <v>#REF!</v>
      </c>
      <c r="G8" s="87" t="e">
        <f>IF(VLOOKUP(A8,#REF!,7,FALSE)= "", "X",IF(VLOOKUP(A8,#REF!,7,FALSE)&gt;50,"Y","N"))</f>
        <v>#REF!</v>
      </c>
      <c r="H8" s="87" t="e">
        <f>IF(VLOOKUP(A8,#REF!,8,FALSE)= "", "X",IF(VLOOKUP(A8,#REF!,8,FALSE)&gt;50,"Y","N"))</f>
        <v>#REF!</v>
      </c>
      <c r="I8" s="87" t="e">
        <f>IF(VLOOKUP(A8,#REF!,9,FALSE)= "", "X",IF(VLOOKUP(A8,#REF!,9,FALSE)&gt;50,"Y","N"))</f>
        <v>#REF!</v>
      </c>
      <c r="J8" s="87" t="e">
        <f>IF(VLOOKUP(A8,#REF!,10,FALSE)= "", "X",IF(VLOOKUP(A8,#REF!,10,FALSE)&gt;50,"Y","N"))</f>
        <v>#REF!</v>
      </c>
      <c r="K8" s="87" t="e">
        <f>IF(VLOOKUP(A8,#REF!,11,FALSE)= "", "X",IF(VLOOKUP(A8,#REF!,11,FALSE)&gt;50,"Y","N"))</f>
        <v>#REF!</v>
      </c>
      <c r="L8" s="87" t="e">
        <f>IF(VLOOKUP(A8,#REF!,12,FALSE)= "", "X",IF(VLOOKUP(A8,#REF!,12,FALSE)&gt;50,"Y","N"))</f>
        <v>#REF!</v>
      </c>
      <c r="M8" s="87" t="e">
        <f>IF(VLOOKUP(A8,#REF!,13,FALSE)= "", "X",IF(VLOOKUP(A8,#REF!,13,FALSE)&gt;50,"Y","N"))</f>
        <v>#REF!</v>
      </c>
      <c r="N8" s="87" t="e">
        <f>IF(VLOOKUP(A8,#REF!,14,FALSE)= "", "X",IF(VLOOKUP(A8,#REF!,14,FALSE)&gt;50,"Y","N"))</f>
        <v>#REF!</v>
      </c>
    </row>
    <row r="9" spans="1:14" ht="16.5" thickBot="1" x14ac:dyDescent="0.3">
      <c r="A9" s="88" t="str">
        <f>(Gradesheet!B13)</f>
        <v>18CS07</v>
      </c>
      <c r="B9" s="89">
        <f>Gradesheet!C13</f>
        <v>0</v>
      </c>
      <c r="C9" s="87" t="e">
        <f>IF(VLOOKUP(A9,#REF!,3,FALSE)="", "X",IF(VLOOKUP(A9,#REF!,3,FALSE)&gt;50,"Y","N"))</f>
        <v>#REF!</v>
      </c>
      <c r="D9" s="87" t="e">
        <f>IF(VLOOKUP(A9,#REF!,4,FALSE)= "", "X",IF(VLOOKUP(A9,#REF!,4,FALSE)&gt;50,"Y","N"))</f>
        <v>#REF!</v>
      </c>
      <c r="E9" s="87" t="e">
        <f>IF(VLOOKUP(A9,#REF!,5,FALSE)= "", "X",IF(VLOOKUP(A9,#REF!,5,FALSE)&gt;50,"Y","N"))</f>
        <v>#REF!</v>
      </c>
      <c r="F9" s="87" t="e">
        <f>IF(VLOOKUP(A9,#REF!,6,FALSE)= "", "X",IF(VLOOKUP(A9,#REF!,6,FALSE)&gt;50,"Y","N"))</f>
        <v>#REF!</v>
      </c>
      <c r="G9" s="87" t="e">
        <f>IF(VLOOKUP(A9,#REF!,7,FALSE)= "", "X",IF(VLOOKUP(A9,#REF!,7,FALSE)&gt;50,"Y","N"))</f>
        <v>#REF!</v>
      </c>
      <c r="H9" s="87" t="e">
        <f>IF(VLOOKUP(A9,#REF!,8,FALSE)= "", "X",IF(VLOOKUP(A9,#REF!,8,FALSE)&gt;50,"Y","N"))</f>
        <v>#REF!</v>
      </c>
      <c r="I9" s="87" t="e">
        <f>IF(VLOOKUP(A9,#REF!,9,FALSE)= "", "X",IF(VLOOKUP(A9,#REF!,9,FALSE)&gt;50,"Y","N"))</f>
        <v>#REF!</v>
      </c>
      <c r="J9" s="87" t="e">
        <f>IF(VLOOKUP(A9,#REF!,10,FALSE)= "", "X",IF(VLOOKUP(A9,#REF!,10,FALSE)&gt;50,"Y","N"))</f>
        <v>#REF!</v>
      </c>
      <c r="K9" s="87" t="e">
        <f>IF(VLOOKUP(A9,#REF!,11,FALSE)= "", "X",IF(VLOOKUP(A9,#REF!,11,FALSE)&gt;50,"Y","N"))</f>
        <v>#REF!</v>
      </c>
      <c r="L9" s="87" t="e">
        <f>IF(VLOOKUP(A9,#REF!,12,FALSE)= "", "X",IF(VLOOKUP(A9,#REF!,12,FALSE)&gt;50,"Y","N"))</f>
        <v>#REF!</v>
      </c>
      <c r="M9" s="87" t="e">
        <f>IF(VLOOKUP(A9,#REF!,13,FALSE)= "", "X",IF(VLOOKUP(A9,#REF!,13,FALSE)&gt;50,"Y","N"))</f>
        <v>#REF!</v>
      </c>
      <c r="N9" s="87" t="e">
        <f>IF(VLOOKUP(A9,#REF!,14,FALSE)= "", "X",IF(VLOOKUP(A9,#REF!,14,FALSE)&gt;50,"Y","N"))</f>
        <v>#REF!</v>
      </c>
    </row>
    <row r="10" spans="1:14" ht="16.5" thickBot="1" x14ac:dyDescent="0.3">
      <c r="A10" s="88" t="str">
        <f>(Gradesheet!B14)</f>
        <v>18CS08</v>
      </c>
      <c r="B10" s="89">
        <f>Gradesheet!C14</f>
        <v>0</v>
      </c>
      <c r="C10" s="87" t="e">
        <f>IF(VLOOKUP(A10,#REF!,3,FALSE)="", "X",IF(VLOOKUP(A10,#REF!,3,FALSE)&gt;50,"Y","N"))</f>
        <v>#REF!</v>
      </c>
      <c r="D10" s="87" t="e">
        <f>IF(VLOOKUP(A10,#REF!,4,FALSE)= "", "X",IF(VLOOKUP(A10,#REF!,4,FALSE)&gt;50,"Y","N"))</f>
        <v>#REF!</v>
      </c>
      <c r="E10" s="87" t="e">
        <f>IF(VLOOKUP(A10,#REF!,5,FALSE)= "", "X",IF(VLOOKUP(A10,#REF!,5,FALSE)&gt;50,"Y","N"))</f>
        <v>#REF!</v>
      </c>
      <c r="F10" s="87" t="e">
        <f>IF(VLOOKUP(A10,#REF!,6,FALSE)= "", "X",IF(VLOOKUP(A10,#REF!,6,FALSE)&gt;50,"Y","N"))</f>
        <v>#REF!</v>
      </c>
      <c r="G10" s="87" t="e">
        <f>IF(VLOOKUP(A10,#REF!,7,FALSE)= "", "X",IF(VLOOKUP(A10,#REF!,7,FALSE)&gt;50,"Y","N"))</f>
        <v>#REF!</v>
      </c>
      <c r="H10" s="87" t="e">
        <f>IF(VLOOKUP(A10,#REF!,8,FALSE)= "", "X",IF(VLOOKUP(A10,#REF!,8,FALSE)&gt;50,"Y","N"))</f>
        <v>#REF!</v>
      </c>
      <c r="I10" s="87" t="e">
        <f>IF(VLOOKUP(A10,#REF!,9,FALSE)= "", "X",IF(VLOOKUP(A10,#REF!,9,FALSE)&gt;50,"Y","N"))</f>
        <v>#REF!</v>
      </c>
      <c r="J10" s="87" t="e">
        <f>IF(VLOOKUP(A10,#REF!,10,FALSE)= "", "X",IF(VLOOKUP(A10,#REF!,10,FALSE)&gt;50,"Y","N"))</f>
        <v>#REF!</v>
      </c>
      <c r="K10" s="87" t="e">
        <f>IF(VLOOKUP(A10,#REF!,11,FALSE)= "", "X",IF(VLOOKUP(A10,#REF!,11,FALSE)&gt;50,"Y","N"))</f>
        <v>#REF!</v>
      </c>
      <c r="L10" s="87" t="e">
        <f>IF(VLOOKUP(A10,#REF!,12,FALSE)= "", "X",IF(VLOOKUP(A10,#REF!,12,FALSE)&gt;50,"Y","N"))</f>
        <v>#REF!</v>
      </c>
      <c r="M10" s="87" t="e">
        <f>IF(VLOOKUP(A10,#REF!,13,FALSE)= "", "X",IF(VLOOKUP(A10,#REF!,13,FALSE)&gt;50,"Y","N"))</f>
        <v>#REF!</v>
      </c>
      <c r="N10" s="87" t="e">
        <f>IF(VLOOKUP(A10,#REF!,14,FALSE)= "", "X",IF(VLOOKUP(A10,#REF!,14,FALSE)&gt;50,"Y","N"))</f>
        <v>#REF!</v>
      </c>
    </row>
    <row r="11" spans="1:14" ht="16.5" thickBot="1" x14ac:dyDescent="0.3">
      <c r="A11" s="88" t="str">
        <f>(Gradesheet!B15)</f>
        <v>18CS09</v>
      </c>
      <c r="B11" s="89">
        <f>Gradesheet!C15</f>
        <v>0</v>
      </c>
      <c r="C11" s="87" t="e">
        <f>IF(VLOOKUP(A11,#REF!,3,FALSE)="", "X",IF(VLOOKUP(A11,#REF!,3,FALSE)&gt;50,"Y","N"))</f>
        <v>#REF!</v>
      </c>
      <c r="D11" s="87" t="e">
        <f>IF(VLOOKUP(A11,#REF!,4,FALSE)= "", "X",IF(VLOOKUP(A11,#REF!,4,FALSE)&gt;50,"Y","N"))</f>
        <v>#REF!</v>
      </c>
      <c r="E11" s="87" t="e">
        <f>IF(VLOOKUP(A11,#REF!,5,FALSE)= "", "X",IF(VLOOKUP(A11,#REF!,5,FALSE)&gt;50,"Y","N"))</f>
        <v>#REF!</v>
      </c>
      <c r="F11" s="87" t="e">
        <f>IF(VLOOKUP(A11,#REF!,6,FALSE)= "", "X",IF(VLOOKUP(A11,#REF!,6,FALSE)&gt;50,"Y","N"))</f>
        <v>#REF!</v>
      </c>
      <c r="G11" s="87" t="e">
        <f>IF(VLOOKUP(A11,#REF!,7,FALSE)= "", "X",IF(VLOOKUP(A11,#REF!,7,FALSE)&gt;50,"Y","N"))</f>
        <v>#REF!</v>
      </c>
      <c r="H11" s="87" t="e">
        <f>IF(VLOOKUP(A11,#REF!,8,FALSE)= "", "X",IF(VLOOKUP(A11,#REF!,8,FALSE)&gt;50,"Y","N"))</f>
        <v>#REF!</v>
      </c>
      <c r="I11" s="87" t="e">
        <f>IF(VLOOKUP(A11,#REF!,9,FALSE)= "", "X",IF(VLOOKUP(A11,#REF!,9,FALSE)&gt;50,"Y","N"))</f>
        <v>#REF!</v>
      </c>
      <c r="J11" s="87" t="e">
        <f>IF(VLOOKUP(A11,#REF!,10,FALSE)= "", "X",IF(VLOOKUP(A11,#REF!,10,FALSE)&gt;50,"Y","N"))</f>
        <v>#REF!</v>
      </c>
      <c r="K11" s="87" t="e">
        <f>IF(VLOOKUP(A11,#REF!,11,FALSE)= "", "X",IF(VLOOKUP(A11,#REF!,11,FALSE)&gt;50,"Y","N"))</f>
        <v>#REF!</v>
      </c>
      <c r="L11" s="87" t="e">
        <f>IF(VLOOKUP(A11,#REF!,12,FALSE)= "", "X",IF(VLOOKUP(A11,#REF!,12,FALSE)&gt;50,"Y","N"))</f>
        <v>#REF!</v>
      </c>
      <c r="M11" s="87" t="e">
        <f>IF(VLOOKUP(A11,#REF!,13,FALSE)= "", "X",IF(VLOOKUP(A11,#REF!,13,FALSE)&gt;50,"Y","N"))</f>
        <v>#REF!</v>
      </c>
      <c r="N11" s="87" t="e">
        <f>IF(VLOOKUP(A11,#REF!,14,FALSE)= "", "X",IF(VLOOKUP(A11,#REF!,14,FALSE)&gt;50,"Y","N"))</f>
        <v>#REF!</v>
      </c>
    </row>
    <row r="12" spans="1:14" ht="16.5" thickBot="1" x14ac:dyDescent="0.3">
      <c r="A12" s="88" t="str">
        <f>(Gradesheet!B16)</f>
        <v>18CS10</v>
      </c>
      <c r="B12" s="89">
        <f>Gradesheet!C16</f>
        <v>0</v>
      </c>
      <c r="C12" s="87" t="e">
        <f>IF(VLOOKUP(A12,#REF!,3,FALSE)="", "X",IF(VLOOKUP(A12,#REF!,3,FALSE)&gt;50,"Y","N"))</f>
        <v>#REF!</v>
      </c>
      <c r="D12" s="87" t="e">
        <f>IF(VLOOKUP(A12,#REF!,4,FALSE)= "", "X",IF(VLOOKUP(A12,#REF!,4,FALSE)&gt;50,"Y","N"))</f>
        <v>#REF!</v>
      </c>
      <c r="E12" s="87" t="e">
        <f>IF(VLOOKUP(A12,#REF!,5,FALSE)= "", "X",IF(VLOOKUP(A12,#REF!,5,FALSE)&gt;50,"Y","N"))</f>
        <v>#REF!</v>
      </c>
      <c r="F12" s="87" t="e">
        <f>IF(VLOOKUP(A12,#REF!,6,FALSE)= "", "X",IF(VLOOKUP(A12,#REF!,6,FALSE)&gt;50,"Y","N"))</f>
        <v>#REF!</v>
      </c>
      <c r="G12" s="87" t="e">
        <f>IF(VLOOKUP(A12,#REF!,7,FALSE)= "", "X",IF(VLOOKUP(A12,#REF!,7,FALSE)&gt;50,"Y","N"))</f>
        <v>#REF!</v>
      </c>
      <c r="H12" s="87" t="e">
        <f>IF(VLOOKUP(A12,#REF!,8,FALSE)= "", "X",IF(VLOOKUP(A12,#REF!,8,FALSE)&gt;50,"Y","N"))</f>
        <v>#REF!</v>
      </c>
      <c r="I12" s="87" t="e">
        <f>IF(VLOOKUP(A12,#REF!,9,FALSE)= "", "X",IF(VLOOKUP(A12,#REF!,9,FALSE)&gt;50,"Y","N"))</f>
        <v>#REF!</v>
      </c>
      <c r="J12" s="87" t="e">
        <f>IF(VLOOKUP(A12,#REF!,10,FALSE)= "", "X",IF(VLOOKUP(A12,#REF!,10,FALSE)&gt;50,"Y","N"))</f>
        <v>#REF!</v>
      </c>
      <c r="K12" s="87" t="e">
        <f>IF(VLOOKUP(A12,#REF!,11,FALSE)= "", "X",IF(VLOOKUP(A12,#REF!,11,FALSE)&gt;50,"Y","N"))</f>
        <v>#REF!</v>
      </c>
      <c r="L12" s="87" t="e">
        <f>IF(VLOOKUP(A12,#REF!,12,FALSE)= "", "X",IF(VLOOKUP(A12,#REF!,12,FALSE)&gt;50,"Y","N"))</f>
        <v>#REF!</v>
      </c>
      <c r="M12" s="87" t="e">
        <f>IF(VLOOKUP(A12,#REF!,13,FALSE)= "", "X",IF(VLOOKUP(A12,#REF!,13,FALSE)&gt;50,"Y","N"))</f>
        <v>#REF!</v>
      </c>
      <c r="N12" s="87" t="e">
        <f>IF(VLOOKUP(A12,#REF!,14,FALSE)= "", "X",IF(VLOOKUP(A12,#REF!,14,FALSE)&gt;50,"Y","N"))</f>
        <v>#REF!</v>
      </c>
    </row>
    <row r="13" spans="1:14" ht="16.5" thickBot="1" x14ac:dyDescent="0.3">
      <c r="A13" s="88" t="str">
        <f>(Gradesheet!B17)</f>
        <v>18CS11</v>
      </c>
      <c r="B13" s="89">
        <f>Gradesheet!C17</f>
        <v>0</v>
      </c>
      <c r="C13" s="87" t="e">
        <f>IF(VLOOKUP(A13,#REF!,3,FALSE)="", "X",IF(VLOOKUP(A13,#REF!,3,FALSE)&gt;50,"Y","N"))</f>
        <v>#REF!</v>
      </c>
      <c r="D13" s="87" t="e">
        <f>IF(VLOOKUP(A13,#REF!,4,FALSE)= "", "X",IF(VLOOKUP(A13,#REF!,4,FALSE)&gt;50,"Y","N"))</f>
        <v>#REF!</v>
      </c>
      <c r="E13" s="87" t="e">
        <f>IF(VLOOKUP(A13,#REF!,5,FALSE)= "", "X",IF(VLOOKUP(A13,#REF!,5,FALSE)&gt;50,"Y","N"))</f>
        <v>#REF!</v>
      </c>
      <c r="F13" s="87" t="e">
        <f>IF(VLOOKUP(A13,#REF!,6,FALSE)= "", "X",IF(VLOOKUP(A13,#REF!,6,FALSE)&gt;50,"Y","N"))</f>
        <v>#REF!</v>
      </c>
      <c r="G13" s="87" t="e">
        <f>IF(VLOOKUP(A13,#REF!,7,FALSE)= "", "X",IF(VLOOKUP(A13,#REF!,7,FALSE)&gt;50,"Y","N"))</f>
        <v>#REF!</v>
      </c>
      <c r="H13" s="87" t="e">
        <f>IF(VLOOKUP(A13,#REF!,8,FALSE)= "", "X",IF(VLOOKUP(A13,#REF!,8,FALSE)&gt;50,"Y","N"))</f>
        <v>#REF!</v>
      </c>
      <c r="I13" s="87" t="e">
        <f>IF(VLOOKUP(A13,#REF!,9,FALSE)= "", "X",IF(VLOOKUP(A13,#REF!,9,FALSE)&gt;50,"Y","N"))</f>
        <v>#REF!</v>
      </c>
      <c r="J13" s="87" t="e">
        <f>IF(VLOOKUP(A13,#REF!,10,FALSE)= "", "X",IF(VLOOKUP(A13,#REF!,10,FALSE)&gt;50,"Y","N"))</f>
        <v>#REF!</v>
      </c>
      <c r="K13" s="87" t="e">
        <f>IF(VLOOKUP(A13,#REF!,11,FALSE)= "", "X",IF(VLOOKUP(A13,#REF!,11,FALSE)&gt;50,"Y","N"))</f>
        <v>#REF!</v>
      </c>
      <c r="L13" s="87" t="e">
        <f>IF(VLOOKUP(A13,#REF!,12,FALSE)= "", "X",IF(VLOOKUP(A13,#REF!,12,FALSE)&gt;50,"Y","N"))</f>
        <v>#REF!</v>
      </c>
      <c r="M13" s="87" t="e">
        <f>IF(VLOOKUP(A13,#REF!,13,FALSE)= "", "X",IF(VLOOKUP(A13,#REF!,13,FALSE)&gt;50,"Y","N"))</f>
        <v>#REF!</v>
      </c>
      <c r="N13" s="87" t="e">
        <f>IF(VLOOKUP(A13,#REF!,14,FALSE)= "", "X",IF(VLOOKUP(A13,#REF!,14,FALSE)&gt;50,"Y","N"))</f>
        <v>#REF!</v>
      </c>
    </row>
    <row r="14" spans="1:14" ht="16.5" thickBot="1" x14ac:dyDescent="0.3">
      <c r="A14" s="88" t="str">
        <f>(Gradesheet!B18)</f>
        <v>18CS12</v>
      </c>
      <c r="B14" s="89">
        <f>Gradesheet!C18</f>
        <v>0</v>
      </c>
      <c r="C14" s="87" t="e">
        <f>IF(VLOOKUP(A14,#REF!,3,FALSE)="", "X",IF(VLOOKUP(A14,#REF!,3,FALSE)&gt;50,"Y","N"))</f>
        <v>#REF!</v>
      </c>
      <c r="D14" s="87" t="e">
        <f>IF(VLOOKUP(A14,#REF!,4,FALSE)= "", "X",IF(VLOOKUP(A14,#REF!,4,FALSE)&gt;50,"Y","N"))</f>
        <v>#REF!</v>
      </c>
      <c r="E14" s="87" t="e">
        <f>IF(VLOOKUP(A14,#REF!,5,FALSE)= "", "X",IF(VLOOKUP(A14,#REF!,5,FALSE)&gt;50,"Y","N"))</f>
        <v>#REF!</v>
      </c>
      <c r="F14" s="87" t="e">
        <f>IF(VLOOKUP(A14,#REF!,6,FALSE)= "", "X",IF(VLOOKUP(A14,#REF!,6,FALSE)&gt;50,"Y","N"))</f>
        <v>#REF!</v>
      </c>
      <c r="G14" s="87" t="e">
        <f>IF(VLOOKUP(A14,#REF!,7,FALSE)= "", "X",IF(VLOOKUP(A14,#REF!,7,FALSE)&gt;50,"Y","N"))</f>
        <v>#REF!</v>
      </c>
      <c r="H14" s="87" t="e">
        <f>IF(VLOOKUP(A14,#REF!,8,FALSE)= "", "X",IF(VLOOKUP(A14,#REF!,8,FALSE)&gt;50,"Y","N"))</f>
        <v>#REF!</v>
      </c>
      <c r="I14" s="87" t="e">
        <f>IF(VLOOKUP(A14,#REF!,9,FALSE)= "", "X",IF(VLOOKUP(A14,#REF!,9,FALSE)&gt;50,"Y","N"))</f>
        <v>#REF!</v>
      </c>
      <c r="J14" s="87" t="e">
        <f>IF(VLOOKUP(A14,#REF!,10,FALSE)= "", "X",IF(VLOOKUP(A14,#REF!,10,FALSE)&gt;50,"Y","N"))</f>
        <v>#REF!</v>
      </c>
      <c r="K14" s="87" t="e">
        <f>IF(VLOOKUP(A14,#REF!,11,FALSE)= "", "X",IF(VLOOKUP(A14,#REF!,11,FALSE)&gt;50,"Y","N"))</f>
        <v>#REF!</v>
      </c>
      <c r="L14" s="87" t="e">
        <f>IF(VLOOKUP(A14,#REF!,12,FALSE)= "", "X",IF(VLOOKUP(A14,#REF!,12,FALSE)&gt;50,"Y","N"))</f>
        <v>#REF!</v>
      </c>
      <c r="M14" s="87" t="e">
        <f>IF(VLOOKUP(A14,#REF!,13,FALSE)= "", "X",IF(VLOOKUP(A14,#REF!,13,FALSE)&gt;50,"Y","N"))</f>
        <v>#REF!</v>
      </c>
      <c r="N14" s="87" t="e">
        <f>IF(VLOOKUP(A14,#REF!,14,FALSE)= "", "X",IF(VLOOKUP(A14,#REF!,14,FALSE)&gt;50,"Y","N"))</f>
        <v>#REF!</v>
      </c>
    </row>
    <row r="15" spans="1:14" ht="16.5" thickBot="1" x14ac:dyDescent="0.3">
      <c r="A15" s="88" t="str">
        <f>(Gradesheet!B19)</f>
        <v>18CS14</v>
      </c>
      <c r="B15" s="89">
        <f>Gradesheet!C19</f>
        <v>0</v>
      </c>
      <c r="C15" s="87" t="e">
        <f>IF(VLOOKUP(A15,#REF!,3,FALSE)="", "X",IF(VLOOKUP(A15,#REF!,3,FALSE)&gt;50,"Y","N"))</f>
        <v>#REF!</v>
      </c>
      <c r="D15" s="87" t="e">
        <f>IF(VLOOKUP(A15,#REF!,4,FALSE)= "", "X",IF(VLOOKUP(A15,#REF!,4,FALSE)&gt;50,"Y","N"))</f>
        <v>#REF!</v>
      </c>
      <c r="E15" s="87" t="e">
        <f>IF(VLOOKUP(A15,#REF!,5,FALSE)= "", "X",IF(VLOOKUP(A15,#REF!,5,FALSE)&gt;50,"Y","N"))</f>
        <v>#REF!</v>
      </c>
      <c r="F15" s="87" t="e">
        <f>IF(VLOOKUP(A15,#REF!,6,FALSE)= "", "X",IF(VLOOKUP(A15,#REF!,6,FALSE)&gt;50,"Y","N"))</f>
        <v>#REF!</v>
      </c>
      <c r="G15" s="87" t="e">
        <f>IF(VLOOKUP(A15,#REF!,7,FALSE)= "", "X",IF(VLOOKUP(A15,#REF!,7,FALSE)&gt;50,"Y","N"))</f>
        <v>#REF!</v>
      </c>
      <c r="H15" s="87" t="e">
        <f>IF(VLOOKUP(A15,#REF!,8,FALSE)= "", "X",IF(VLOOKUP(A15,#REF!,8,FALSE)&gt;50,"Y","N"))</f>
        <v>#REF!</v>
      </c>
      <c r="I15" s="87" t="e">
        <f>IF(VLOOKUP(A15,#REF!,9,FALSE)= "", "X",IF(VLOOKUP(A15,#REF!,9,FALSE)&gt;50,"Y","N"))</f>
        <v>#REF!</v>
      </c>
      <c r="J15" s="87" t="e">
        <f>IF(VLOOKUP(A15,#REF!,10,FALSE)= "", "X",IF(VLOOKUP(A15,#REF!,10,FALSE)&gt;50,"Y","N"))</f>
        <v>#REF!</v>
      </c>
      <c r="K15" s="87" t="e">
        <f>IF(VLOOKUP(A15,#REF!,11,FALSE)= "", "X",IF(VLOOKUP(A15,#REF!,11,FALSE)&gt;50,"Y","N"))</f>
        <v>#REF!</v>
      </c>
      <c r="L15" s="87" t="e">
        <f>IF(VLOOKUP(A15,#REF!,12,FALSE)= "", "X",IF(VLOOKUP(A15,#REF!,12,FALSE)&gt;50,"Y","N"))</f>
        <v>#REF!</v>
      </c>
      <c r="M15" s="87" t="e">
        <f>IF(VLOOKUP(A15,#REF!,13,FALSE)= "", "X",IF(VLOOKUP(A15,#REF!,13,FALSE)&gt;50,"Y","N"))</f>
        <v>#REF!</v>
      </c>
      <c r="N15" s="87" t="e">
        <f>IF(VLOOKUP(A15,#REF!,14,FALSE)= "", "X",IF(VLOOKUP(A15,#REF!,14,FALSE)&gt;50,"Y","N"))</f>
        <v>#REF!</v>
      </c>
    </row>
    <row r="16" spans="1:14" ht="16.5" thickBot="1" x14ac:dyDescent="0.3">
      <c r="A16" s="88" t="str">
        <f>(Gradesheet!B20)</f>
        <v>18CS15</v>
      </c>
      <c r="B16" s="89">
        <f>Gradesheet!C20</f>
        <v>0</v>
      </c>
      <c r="C16" s="87" t="e">
        <f>IF(VLOOKUP(A16,#REF!,3,FALSE)="", "X",IF(VLOOKUP(A16,#REF!,3,FALSE)&gt;50,"Y","N"))</f>
        <v>#REF!</v>
      </c>
      <c r="D16" s="87" t="e">
        <f>IF(VLOOKUP(A16,#REF!,4,FALSE)= "", "X",IF(VLOOKUP(A16,#REF!,4,FALSE)&gt;50,"Y","N"))</f>
        <v>#REF!</v>
      </c>
      <c r="E16" s="87" t="e">
        <f>IF(VLOOKUP(A16,#REF!,5,FALSE)= "", "X",IF(VLOOKUP(A16,#REF!,5,FALSE)&gt;50,"Y","N"))</f>
        <v>#REF!</v>
      </c>
      <c r="F16" s="87" t="e">
        <f>IF(VLOOKUP(A16,#REF!,6,FALSE)= "", "X",IF(VLOOKUP(A16,#REF!,6,FALSE)&gt;50,"Y","N"))</f>
        <v>#REF!</v>
      </c>
      <c r="G16" s="87" t="e">
        <f>IF(VLOOKUP(A16,#REF!,7,FALSE)= "", "X",IF(VLOOKUP(A16,#REF!,7,FALSE)&gt;50,"Y","N"))</f>
        <v>#REF!</v>
      </c>
      <c r="H16" s="87" t="e">
        <f>IF(VLOOKUP(A16,#REF!,8,FALSE)= "", "X",IF(VLOOKUP(A16,#REF!,8,FALSE)&gt;50,"Y","N"))</f>
        <v>#REF!</v>
      </c>
      <c r="I16" s="87" t="e">
        <f>IF(VLOOKUP(A16,#REF!,9,FALSE)= "", "X",IF(VLOOKUP(A16,#REF!,9,FALSE)&gt;50,"Y","N"))</f>
        <v>#REF!</v>
      </c>
      <c r="J16" s="87" t="e">
        <f>IF(VLOOKUP(A16,#REF!,10,FALSE)= "", "X",IF(VLOOKUP(A16,#REF!,10,FALSE)&gt;50,"Y","N"))</f>
        <v>#REF!</v>
      </c>
      <c r="K16" s="87" t="e">
        <f>IF(VLOOKUP(A16,#REF!,11,FALSE)= "", "X",IF(VLOOKUP(A16,#REF!,11,FALSE)&gt;50,"Y","N"))</f>
        <v>#REF!</v>
      </c>
      <c r="L16" s="87" t="e">
        <f>IF(VLOOKUP(A16,#REF!,12,FALSE)= "", "X",IF(VLOOKUP(A16,#REF!,12,FALSE)&gt;50,"Y","N"))</f>
        <v>#REF!</v>
      </c>
      <c r="M16" s="87" t="e">
        <f>IF(VLOOKUP(A16,#REF!,13,FALSE)= "", "X",IF(VLOOKUP(A16,#REF!,13,FALSE)&gt;50,"Y","N"))</f>
        <v>#REF!</v>
      </c>
      <c r="N16" s="87" t="e">
        <f>IF(VLOOKUP(A16,#REF!,14,FALSE)= "", "X",IF(VLOOKUP(A16,#REF!,14,FALSE)&gt;50,"Y","N"))</f>
        <v>#REF!</v>
      </c>
    </row>
    <row r="17" spans="1:14" ht="16.5" thickBot="1" x14ac:dyDescent="0.3">
      <c r="A17" s="88" t="str">
        <f>(Gradesheet!B21)</f>
        <v>18CS16</v>
      </c>
      <c r="B17" s="89">
        <f>Gradesheet!C21</f>
        <v>0</v>
      </c>
      <c r="C17" s="87" t="e">
        <f>IF(VLOOKUP(A17,#REF!,3,FALSE)="", "X",IF(VLOOKUP(A17,#REF!,3,FALSE)&gt;50,"Y","N"))</f>
        <v>#REF!</v>
      </c>
      <c r="D17" s="87" t="e">
        <f>IF(VLOOKUP(A17,#REF!,4,FALSE)= "", "X",IF(VLOOKUP(A17,#REF!,4,FALSE)&gt;50,"Y","N"))</f>
        <v>#REF!</v>
      </c>
      <c r="E17" s="87" t="e">
        <f>IF(VLOOKUP(A17,#REF!,5,FALSE)= "", "X",IF(VLOOKUP(A17,#REF!,5,FALSE)&gt;50,"Y","N"))</f>
        <v>#REF!</v>
      </c>
      <c r="F17" s="87" t="e">
        <f>IF(VLOOKUP(A17,#REF!,6,FALSE)= "", "X",IF(VLOOKUP(A17,#REF!,6,FALSE)&gt;50,"Y","N"))</f>
        <v>#REF!</v>
      </c>
      <c r="G17" s="87" t="e">
        <f>IF(VLOOKUP(A17,#REF!,7,FALSE)= "", "X",IF(VLOOKUP(A17,#REF!,7,FALSE)&gt;50,"Y","N"))</f>
        <v>#REF!</v>
      </c>
      <c r="H17" s="87" t="e">
        <f>IF(VLOOKUP(A17,#REF!,8,FALSE)= "", "X",IF(VLOOKUP(A17,#REF!,8,FALSE)&gt;50,"Y","N"))</f>
        <v>#REF!</v>
      </c>
      <c r="I17" s="87" t="e">
        <f>IF(VLOOKUP(A17,#REF!,9,FALSE)= "", "X",IF(VLOOKUP(A17,#REF!,9,FALSE)&gt;50,"Y","N"))</f>
        <v>#REF!</v>
      </c>
      <c r="J17" s="87" t="e">
        <f>IF(VLOOKUP(A17,#REF!,10,FALSE)= "", "X",IF(VLOOKUP(A17,#REF!,10,FALSE)&gt;50,"Y","N"))</f>
        <v>#REF!</v>
      </c>
      <c r="K17" s="87" t="e">
        <f>IF(VLOOKUP(A17,#REF!,11,FALSE)= "", "X",IF(VLOOKUP(A17,#REF!,11,FALSE)&gt;50,"Y","N"))</f>
        <v>#REF!</v>
      </c>
      <c r="L17" s="87" t="e">
        <f>IF(VLOOKUP(A17,#REF!,12,FALSE)= "", "X",IF(VLOOKUP(A17,#REF!,12,FALSE)&gt;50,"Y","N"))</f>
        <v>#REF!</v>
      </c>
      <c r="M17" s="87" t="e">
        <f>IF(VLOOKUP(A17,#REF!,13,FALSE)= "", "X",IF(VLOOKUP(A17,#REF!,13,FALSE)&gt;50,"Y","N"))</f>
        <v>#REF!</v>
      </c>
      <c r="N17" s="87" t="e">
        <f>IF(VLOOKUP(A17,#REF!,14,FALSE)= "", "X",IF(VLOOKUP(A17,#REF!,14,FALSE)&gt;50,"Y","N"))</f>
        <v>#REF!</v>
      </c>
    </row>
    <row r="18" spans="1:14" ht="16.5" thickBot="1" x14ac:dyDescent="0.3">
      <c r="A18" s="88" t="str">
        <f>(Gradesheet!B22)</f>
        <v>18CS18</v>
      </c>
      <c r="B18" s="89">
        <f>Gradesheet!C22</f>
        <v>0</v>
      </c>
      <c r="C18" s="87" t="e">
        <f>IF(VLOOKUP(A18,#REF!,3,FALSE)="", "X",IF(VLOOKUP(A18,#REF!,3,FALSE)&gt;50,"Y","N"))</f>
        <v>#REF!</v>
      </c>
      <c r="D18" s="87" t="e">
        <f>IF(VLOOKUP(A18,#REF!,4,FALSE)= "", "X",IF(VLOOKUP(A18,#REF!,4,FALSE)&gt;50,"Y","N"))</f>
        <v>#REF!</v>
      </c>
      <c r="E18" s="87" t="e">
        <f>IF(VLOOKUP(A18,#REF!,5,FALSE)= "", "X",IF(VLOOKUP(A18,#REF!,5,FALSE)&gt;50,"Y","N"))</f>
        <v>#REF!</v>
      </c>
      <c r="F18" s="87" t="e">
        <f>IF(VLOOKUP(A18,#REF!,6,FALSE)= "", "X",IF(VLOOKUP(A18,#REF!,6,FALSE)&gt;50,"Y","N"))</f>
        <v>#REF!</v>
      </c>
      <c r="G18" s="87" t="e">
        <f>IF(VLOOKUP(A18,#REF!,7,FALSE)= "", "X",IF(VLOOKUP(A18,#REF!,7,FALSE)&gt;50,"Y","N"))</f>
        <v>#REF!</v>
      </c>
      <c r="H18" s="87" t="e">
        <f>IF(VLOOKUP(A18,#REF!,8,FALSE)= "", "X",IF(VLOOKUP(A18,#REF!,8,FALSE)&gt;50,"Y","N"))</f>
        <v>#REF!</v>
      </c>
      <c r="I18" s="87" t="e">
        <f>IF(VLOOKUP(A18,#REF!,9,FALSE)= "", "X",IF(VLOOKUP(A18,#REF!,9,FALSE)&gt;50,"Y","N"))</f>
        <v>#REF!</v>
      </c>
      <c r="J18" s="87" t="e">
        <f>IF(VLOOKUP(A18,#REF!,10,FALSE)= "", "X",IF(VLOOKUP(A18,#REF!,10,FALSE)&gt;50,"Y","N"))</f>
        <v>#REF!</v>
      </c>
      <c r="K18" s="87" t="e">
        <f>IF(VLOOKUP(A18,#REF!,11,FALSE)= "", "X",IF(VLOOKUP(A18,#REF!,11,FALSE)&gt;50,"Y","N"))</f>
        <v>#REF!</v>
      </c>
      <c r="L18" s="87" t="e">
        <f>IF(VLOOKUP(A18,#REF!,12,FALSE)= "", "X",IF(VLOOKUP(A18,#REF!,12,FALSE)&gt;50,"Y","N"))</f>
        <v>#REF!</v>
      </c>
      <c r="M18" s="87" t="e">
        <f>IF(VLOOKUP(A18,#REF!,13,FALSE)= "", "X",IF(VLOOKUP(A18,#REF!,13,FALSE)&gt;50,"Y","N"))</f>
        <v>#REF!</v>
      </c>
      <c r="N18" s="87" t="e">
        <f>IF(VLOOKUP(A18,#REF!,14,FALSE)= "", "X",IF(VLOOKUP(A18,#REF!,14,FALSE)&gt;50,"Y","N"))</f>
        <v>#REF!</v>
      </c>
    </row>
    <row r="19" spans="1:14" ht="16.5" thickBot="1" x14ac:dyDescent="0.3">
      <c r="A19" s="88" t="str">
        <f>(Gradesheet!B23)</f>
        <v>18CS20</v>
      </c>
      <c r="B19" s="89">
        <f>Gradesheet!C23</f>
        <v>0</v>
      </c>
      <c r="C19" s="87" t="e">
        <f>IF(VLOOKUP(A19,#REF!,3,FALSE)="", "X",IF(VLOOKUP(A19,#REF!,3,FALSE)&gt;50,"Y","N"))</f>
        <v>#REF!</v>
      </c>
      <c r="D19" s="87" t="e">
        <f>IF(VLOOKUP(A19,#REF!,4,FALSE)= "", "X",IF(VLOOKUP(A19,#REF!,4,FALSE)&gt;50,"Y","N"))</f>
        <v>#REF!</v>
      </c>
      <c r="E19" s="87" t="e">
        <f>IF(VLOOKUP(A19,#REF!,5,FALSE)= "", "X",IF(VLOOKUP(A19,#REF!,5,FALSE)&gt;50,"Y","N"))</f>
        <v>#REF!</v>
      </c>
      <c r="F19" s="87" t="e">
        <f>IF(VLOOKUP(A19,#REF!,6,FALSE)= "", "X",IF(VLOOKUP(A19,#REF!,6,FALSE)&gt;50,"Y","N"))</f>
        <v>#REF!</v>
      </c>
      <c r="G19" s="87" t="e">
        <f>IF(VLOOKUP(A19,#REF!,7,FALSE)= "", "X",IF(VLOOKUP(A19,#REF!,7,FALSE)&gt;50,"Y","N"))</f>
        <v>#REF!</v>
      </c>
      <c r="H19" s="87" t="e">
        <f>IF(VLOOKUP(A19,#REF!,8,FALSE)= "", "X",IF(VLOOKUP(A19,#REF!,8,FALSE)&gt;50,"Y","N"))</f>
        <v>#REF!</v>
      </c>
      <c r="I19" s="87" t="e">
        <f>IF(VLOOKUP(A19,#REF!,9,FALSE)= "", "X",IF(VLOOKUP(A19,#REF!,9,FALSE)&gt;50,"Y","N"))</f>
        <v>#REF!</v>
      </c>
      <c r="J19" s="87" t="e">
        <f>IF(VLOOKUP(A19,#REF!,10,FALSE)= "", "X",IF(VLOOKUP(A19,#REF!,10,FALSE)&gt;50,"Y","N"))</f>
        <v>#REF!</v>
      </c>
      <c r="K19" s="87" t="e">
        <f>IF(VLOOKUP(A19,#REF!,11,FALSE)= "", "X",IF(VLOOKUP(A19,#REF!,11,FALSE)&gt;50,"Y","N"))</f>
        <v>#REF!</v>
      </c>
      <c r="L19" s="87" t="e">
        <f>IF(VLOOKUP(A19,#REF!,12,FALSE)= "", "X",IF(VLOOKUP(A19,#REF!,12,FALSE)&gt;50,"Y","N"))</f>
        <v>#REF!</v>
      </c>
      <c r="M19" s="87" t="e">
        <f>IF(VLOOKUP(A19,#REF!,13,FALSE)= "", "X",IF(VLOOKUP(A19,#REF!,13,FALSE)&gt;50,"Y","N"))</f>
        <v>#REF!</v>
      </c>
      <c r="N19" s="87" t="e">
        <f>IF(VLOOKUP(A19,#REF!,14,FALSE)= "", "X",IF(VLOOKUP(A19,#REF!,14,FALSE)&gt;50,"Y","N"))</f>
        <v>#REF!</v>
      </c>
    </row>
    <row r="20" spans="1:14" ht="16.5" thickBot="1" x14ac:dyDescent="0.3">
      <c r="A20" s="88" t="str">
        <f>(Gradesheet!B24)</f>
        <v>18CS21</v>
      </c>
      <c r="B20" s="89">
        <f>Gradesheet!C24</f>
        <v>0</v>
      </c>
      <c r="C20" s="87" t="e">
        <f>IF(VLOOKUP(A20,#REF!,3,FALSE)="", "X",IF(VLOOKUP(A20,#REF!,3,FALSE)&gt;50,"Y","N"))</f>
        <v>#REF!</v>
      </c>
      <c r="D20" s="87" t="e">
        <f>IF(VLOOKUP(A20,#REF!,4,FALSE)= "", "X",IF(VLOOKUP(A20,#REF!,4,FALSE)&gt;50,"Y","N"))</f>
        <v>#REF!</v>
      </c>
      <c r="E20" s="87" t="e">
        <f>IF(VLOOKUP(A20,#REF!,5,FALSE)= "", "X",IF(VLOOKUP(A20,#REF!,5,FALSE)&gt;50,"Y","N"))</f>
        <v>#REF!</v>
      </c>
      <c r="F20" s="87" t="e">
        <f>IF(VLOOKUP(A20,#REF!,6,FALSE)= "", "X",IF(VLOOKUP(A20,#REF!,6,FALSE)&gt;50,"Y","N"))</f>
        <v>#REF!</v>
      </c>
      <c r="G20" s="87" t="e">
        <f>IF(VLOOKUP(A20,#REF!,7,FALSE)= "", "X",IF(VLOOKUP(A20,#REF!,7,FALSE)&gt;50,"Y","N"))</f>
        <v>#REF!</v>
      </c>
      <c r="H20" s="87" t="e">
        <f>IF(VLOOKUP(A20,#REF!,8,FALSE)= "", "X",IF(VLOOKUP(A20,#REF!,8,FALSE)&gt;50,"Y","N"))</f>
        <v>#REF!</v>
      </c>
      <c r="I20" s="87" t="e">
        <f>IF(VLOOKUP(A20,#REF!,9,FALSE)= "", "X",IF(VLOOKUP(A20,#REF!,9,FALSE)&gt;50,"Y","N"))</f>
        <v>#REF!</v>
      </c>
      <c r="J20" s="87" t="e">
        <f>IF(VLOOKUP(A20,#REF!,10,FALSE)= "", "X",IF(VLOOKUP(A20,#REF!,10,FALSE)&gt;50,"Y","N"))</f>
        <v>#REF!</v>
      </c>
      <c r="K20" s="87" t="e">
        <f>IF(VLOOKUP(A20,#REF!,11,FALSE)= "", "X",IF(VLOOKUP(A20,#REF!,11,FALSE)&gt;50,"Y","N"))</f>
        <v>#REF!</v>
      </c>
      <c r="L20" s="87" t="e">
        <f>IF(VLOOKUP(A20,#REF!,12,FALSE)= "", "X",IF(VLOOKUP(A20,#REF!,12,FALSE)&gt;50,"Y","N"))</f>
        <v>#REF!</v>
      </c>
      <c r="M20" s="87" t="e">
        <f>IF(VLOOKUP(A20,#REF!,13,FALSE)= "", "X",IF(VLOOKUP(A20,#REF!,13,FALSE)&gt;50,"Y","N"))</f>
        <v>#REF!</v>
      </c>
      <c r="N20" s="87" t="e">
        <f>IF(VLOOKUP(A20,#REF!,14,FALSE)= "", "X",IF(VLOOKUP(A20,#REF!,14,FALSE)&gt;50,"Y","N"))</f>
        <v>#REF!</v>
      </c>
    </row>
    <row r="21" spans="1:14" ht="16.5" thickBot="1" x14ac:dyDescent="0.3">
      <c r="A21" s="88" t="str">
        <f>(Gradesheet!B25)</f>
        <v>18CS22</v>
      </c>
      <c r="B21" s="89">
        <f>Gradesheet!C25</f>
        <v>0</v>
      </c>
      <c r="C21" s="87" t="e">
        <f>IF(VLOOKUP(A21,#REF!,3,FALSE)="", "X",IF(VLOOKUP(A21,#REF!,3,FALSE)&gt;50,"Y","N"))</f>
        <v>#REF!</v>
      </c>
      <c r="D21" s="87" t="e">
        <f>IF(VLOOKUP(A21,#REF!,4,FALSE)= "", "X",IF(VLOOKUP(A21,#REF!,4,FALSE)&gt;50,"Y","N"))</f>
        <v>#REF!</v>
      </c>
      <c r="E21" s="87" t="e">
        <f>IF(VLOOKUP(A21,#REF!,5,FALSE)= "", "X",IF(VLOOKUP(A21,#REF!,5,FALSE)&gt;50,"Y","N"))</f>
        <v>#REF!</v>
      </c>
      <c r="F21" s="87" t="e">
        <f>IF(VLOOKUP(A21,#REF!,6,FALSE)= "", "X",IF(VLOOKUP(A21,#REF!,6,FALSE)&gt;50,"Y","N"))</f>
        <v>#REF!</v>
      </c>
      <c r="G21" s="87" t="e">
        <f>IF(VLOOKUP(A21,#REF!,7,FALSE)= "", "X",IF(VLOOKUP(A21,#REF!,7,FALSE)&gt;50,"Y","N"))</f>
        <v>#REF!</v>
      </c>
      <c r="H21" s="87" t="e">
        <f>IF(VLOOKUP(A21,#REF!,8,FALSE)= "", "X",IF(VLOOKUP(A21,#REF!,8,FALSE)&gt;50,"Y","N"))</f>
        <v>#REF!</v>
      </c>
      <c r="I21" s="87" t="e">
        <f>IF(VLOOKUP(A21,#REF!,9,FALSE)= "", "X",IF(VLOOKUP(A21,#REF!,9,FALSE)&gt;50,"Y","N"))</f>
        <v>#REF!</v>
      </c>
      <c r="J21" s="87" t="e">
        <f>IF(VLOOKUP(A21,#REF!,10,FALSE)= "", "X",IF(VLOOKUP(A21,#REF!,10,FALSE)&gt;50,"Y","N"))</f>
        <v>#REF!</v>
      </c>
      <c r="K21" s="87" t="e">
        <f>IF(VLOOKUP(A21,#REF!,11,FALSE)= "", "X",IF(VLOOKUP(A21,#REF!,11,FALSE)&gt;50,"Y","N"))</f>
        <v>#REF!</v>
      </c>
      <c r="L21" s="87" t="e">
        <f>IF(VLOOKUP(A21,#REF!,12,FALSE)= "", "X",IF(VLOOKUP(A21,#REF!,12,FALSE)&gt;50,"Y","N"))</f>
        <v>#REF!</v>
      </c>
      <c r="M21" s="87" t="e">
        <f>IF(VLOOKUP(A21,#REF!,13,FALSE)= "", "X",IF(VLOOKUP(A21,#REF!,13,FALSE)&gt;50,"Y","N"))</f>
        <v>#REF!</v>
      </c>
      <c r="N21" s="87" t="e">
        <f>IF(VLOOKUP(A21,#REF!,14,FALSE)= "", "X",IF(VLOOKUP(A21,#REF!,14,FALSE)&gt;50,"Y","N"))</f>
        <v>#REF!</v>
      </c>
    </row>
    <row r="22" spans="1:14" ht="16.5" thickBot="1" x14ac:dyDescent="0.3">
      <c r="A22" s="88" t="str">
        <f>(Gradesheet!B26)</f>
        <v>18CS24</v>
      </c>
      <c r="B22" s="89">
        <f>Gradesheet!C26</f>
        <v>0</v>
      </c>
      <c r="C22" s="87" t="e">
        <f>IF(VLOOKUP(A22,#REF!,3,FALSE)="", "X",IF(VLOOKUP(A22,#REF!,3,FALSE)&gt;50,"Y","N"))</f>
        <v>#REF!</v>
      </c>
      <c r="D22" s="87" t="e">
        <f>IF(VLOOKUP(A22,#REF!,4,FALSE)= "", "X",IF(VLOOKUP(A22,#REF!,4,FALSE)&gt;50,"Y","N"))</f>
        <v>#REF!</v>
      </c>
      <c r="E22" s="87" t="e">
        <f>IF(VLOOKUP(A22,#REF!,5,FALSE)= "", "X",IF(VLOOKUP(A22,#REF!,5,FALSE)&gt;50,"Y","N"))</f>
        <v>#REF!</v>
      </c>
      <c r="F22" s="87" t="e">
        <f>IF(VLOOKUP(A22,#REF!,6,FALSE)= "", "X",IF(VLOOKUP(A22,#REF!,6,FALSE)&gt;50,"Y","N"))</f>
        <v>#REF!</v>
      </c>
      <c r="G22" s="87" t="e">
        <f>IF(VLOOKUP(A22,#REF!,7,FALSE)= "", "X",IF(VLOOKUP(A22,#REF!,7,FALSE)&gt;50,"Y","N"))</f>
        <v>#REF!</v>
      </c>
      <c r="H22" s="87" t="e">
        <f>IF(VLOOKUP(A22,#REF!,8,FALSE)= "", "X",IF(VLOOKUP(A22,#REF!,8,FALSE)&gt;50,"Y","N"))</f>
        <v>#REF!</v>
      </c>
      <c r="I22" s="87" t="e">
        <f>IF(VLOOKUP(A22,#REF!,9,FALSE)= "", "X",IF(VLOOKUP(A22,#REF!,9,FALSE)&gt;50,"Y","N"))</f>
        <v>#REF!</v>
      </c>
      <c r="J22" s="87" t="e">
        <f>IF(VLOOKUP(A22,#REF!,10,FALSE)= "", "X",IF(VLOOKUP(A22,#REF!,10,FALSE)&gt;50,"Y","N"))</f>
        <v>#REF!</v>
      </c>
      <c r="K22" s="87" t="e">
        <f>IF(VLOOKUP(A22,#REF!,11,FALSE)= "", "X",IF(VLOOKUP(A22,#REF!,11,FALSE)&gt;50,"Y","N"))</f>
        <v>#REF!</v>
      </c>
      <c r="L22" s="87" t="e">
        <f>IF(VLOOKUP(A22,#REF!,12,FALSE)= "", "X",IF(VLOOKUP(A22,#REF!,12,FALSE)&gt;50,"Y","N"))</f>
        <v>#REF!</v>
      </c>
      <c r="M22" s="87" t="e">
        <f>IF(VLOOKUP(A22,#REF!,13,FALSE)= "", "X",IF(VLOOKUP(A22,#REF!,13,FALSE)&gt;50,"Y","N"))</f>
        <v>#REF!</v>
      </c>
      <c r="N22" s="87" t="e">
        <f>IF(VLOOKUP(A22,#REF!,14,FALSE)= "", "X",IF(VLOOKUP(A22,#REF!,14,FALSE)&gt;50,"Y","N"))</f>
        <v>#REF!</v>
      </c>
    </row>
    <row r="23" spans="1:14" ht="16.5" thickBot="1" x14ac:dyDescent="0.3">
      <c r="A23" s="88" t="str">
        <f>(Gradesheet!B27)</f>
        <v>18CS25</v>
      </c>
      <c r="B23" s="89">
        <f>Gradesheet!C27</f>
        <v>0</v>
      </c>
      <c r="C23" s="87" t="e">
        <f>IF(VLOOKUP(A23,#REF!,3,FALSE)="", "X",IF(VLOOKUP(A23,#REF!,3,FALSE)&gt;50,"Y","N"))</f>
        <v>#REF!</v>
      </c>
      <c r="D23" s="87" t="e">
        <f>IF(VLOOKUP(A23,#REF!,4,FALSE)= "", "X",IF(VLOOKUP(A23,#REF!,4,FALSE)&gt;50,"Y","N"))</f>
        <v>#REF!</v>
      </c>
      <c r="E23" s="87" t="e">
        <f>IF(VLOOKUP(A23,#REF!,5,FALSE)= "", "X",IF(VLOOKUP(A23,#REF!,5,FALSE)&gt;50,"Y","N"))</f>
        <v>#REF!</v>
      </c>
      <c r="F23" s="87" t="e">
        <f>IF(VLOOKUP(A23,#REF!,6,FALSE)= "", "X",IF(VLOOKUP(A23,#REF!,6,FALSE)&gt;50,"Y","N"))</f>
        <v>#REF!</v>
      </c>
      <c r="G23" s="87" t="e">
        <f>IF(VLOOKUP(A23,#REF!,7,FALSE)= "", "X",IF(VLOOKUP(A23,#REF!,7,FALSE)&gt;50,"Y","N"))</f>
        <v>#REF!</v>
      </c>
      <c r="H23" s="87" t="e">
        <f>IF(VLOOKUP(A23,#REF!,8,FALSE)= "", "X",IF(VLOOKUP(A23,#REF!,8,FALSE)&gt;50,"Y","N"))</f>
        <v>#REF!</v>
      </c>
      <c r="I23" s="87" t="e">
        <f>IF(VLOOKUP(A23,#REF!,9,FALSE)= "", "X",IF(VLOOKUP(A23,#REF!,9,FALSE)&gt;50,"Y","N"))</f>
        <v>#REF!</v>
      </c>
      <c r="J23" s="87" t="e">
        <f>IF(VLOOKUP(A23,#REF!,10,FALSE)= "", "X",IF(VLOOKUP(A23,#REF!,10,FALSE)&gt;50,"Y","N"))</f>
        <v>#REF!</v>
      </c>
      <c r="K23" s="87" t="e">
        <f>IF(VLOOKUP(A23,#REF!,11,FALSE)= "", "X",IF(VLOOKUP(A23,#REF!,11,FALSE)&gt;50,"Y","N"))</f>
        <v>#REF!</v>
      </c>
      <c r="L23" s="87" t="e">
        <f>IF(VLOOKUP(A23,#REF!,12,FALSE)= "", "X",IF(VLOOKUP(A23,#REF!,12,FALSE)&gt;50,"Y","N"))</f>
        <v>#REF!</v>
      </c>
      <c r="M23" s="87" t="e">
        <f>IF(VLOOKUP(A23,#REF!,13,FALSE)= "", "X",IF(VLOOKUP(A23,#REF!,13,FALSE)&gt;50,"Y","N"))</f>
        <v>#REF!</v>
      </c>
      <c r="N23" s="87" t="e">
        <f>IF(VLOOKUP(A23,#REF!,14,FALSE)= "", "X",IF(VLOOKUP(A23,#REF!,14,FALSE)&gt;50,"Y","N"))</f>
        <v>#REF!</v>
      </c>
    </row>
    <row r="24" spans="1:14" ht="16.5" thickBot="1" x14ac:dyDescent="0.3">
      <c r="A24" s="88" t="str">
        <f>(Gradesheet!B28)</f>
        <v>18CS26</v>
      </c>
      <c r="B24" s="89">
        <f>Gradesheet!C28</f>
        <v>0</v>
      </c>
      <c r="C24" s="87" t="e">
        <f>IF(VLOOKUP(A24,#REF!,3,FALSE)="", "X",IF(VLOOKUP(A24,#REF!,3,FALSE)&gt;50,"Y","N"))</f>
        <v>#REF!</v>
      </c>
      <c r="D24" s="87" t="e">
        <f>IF(VLOOKUP(A24,#REF!,4,FALSE)= "", "X",IF(VLOOKUP(A24,#REF!,4,FALSE)&gt;50,"Y","N"))</f>
        <v>#REF!</v>
      </c>
      <c r="E24" s="87" t="e">
        <f>IF(VLOOKUP(A24,#REF!,5,FALSE)= "", "X",IF(VLOOKUP(A24,#REF!,5,FALSE)&gt;50,"Y","N"))</f>
        <v>#REF!</v>
      </c>
      <c r="F24" s="87" t="e">
        <f>IF(VLOOKUP(A24,#REF!,6,FALSE)= "", "X",IF(VLOOKUP(A24,#REF!,6,FALSE)&gt;50,"Y","N"))</f>
        <v>#REF!</v>
      </c>
      <c r="G24" s="87" t="e">
        <f>IF(VLOOKUP(A24,#REF!,7,FALSE)= "", "X",IF(VLOOKUP(A24,#REF!,7,FALSE)&gt;50,"Y","N"))</f>
        <v>#REF!</v>
      </c>
      <c r="H24" s="87" t="e">
        <f>IF(VLOOKUP(A24,#REF!,8,FALSE)= "", "X",IF(VLOOKUP(A24,#REF!,8,FALSE)&gt;50,"Y","N"))</f>
        <v>#REF!</v>
      </c>
      <c r="I24" s="87" t="e">
        <f>IF(VLOOKUP(A24,#REF!,9,FALSE)= "", "X",IF(VLOOKUP(A24,#REF!,9,FALSE)&gt;50,"Y","N"))</f>
        <v>#REF!</v>
      </c>
      <c r="J24" s="87" t="e">
        <f>IF(VLOOKUP(A24,#REF!,10,FALSE)= "", "X",IF(VLOOKUP(A24,#REF!,10,FALSE)&gt;50,"Y","N"))</f>
        <v>#REF!</v>
      </c>
      <c r="K24" s="87" t="e">
        <f>IF(VLOOKUP(A24,#REF!,11,FALSE)= "", "X",IF(VLOOKUP(A24,#REF!,11,FALSE)&gt;50,"Y","N"))</f>
        <v>#REF!</v>
      </c>
      <c r="L24" s="87" t="e">
        <f>IF(VLOOKUP(A24,#REF!,12,FALSE)= "", "X",IF(VLOOKUP(A24,#REF!,12,FALSE)&gt;50,"Y","N"))</f>
        <v>#REF!</v>
      </c>
      <c r="M24" s="87" t="e">
        <f>IF(VLOOKUP(A24,#REF!,13,FALSE)= "", "X",IF(VLOOKUP(A24,#REF!,13,FALSE)&gt;50,"Y","N"))</f>
        <v>#REF!</v>
      </c>
      <c r="N24" s="87" t="e">
        <f>IF(VLOOKUP(A24,#REF!,14,FALSE)= "", "X",IF(VLOOKUP(A24,#REF!,14,FALSE)&gt;50,"Y","N"))</f>
        <v>#REF!</v>
      </c>
    </row>
    <row r="25" spans="1:14" ht="16.5" thickBot="1" x14ac:dyDescent="0.3">
      <c r="A25" s="88" t="str">
        <f>(Gradesheet!B29)</f>
        <v>18CS27</v>
      </c>
      <c r="B25" s="89">
        <f>Gradesheet!C29</f>
        <v>0</v>
      </c>
      <c r="C25" s="87" t="e">
        <f>IF(VLOOKUP(A25,#REF!,3,FALSE)="", "X",IF(VLOOKUP(A25,#REF!,3,FALSE)&gt;50,"Y","N"))</f>
        <v>#REF!</v>
      </c>
      <c r="D25" s="87" t="e">
        <f>IF(VLOOKUP(A25,#REF!,4,FALSE)= "", "X",IF(VLOOKUP(A25,#REF!,4,FALSE)&gt;50,"Y","N"))</f>
        <v>#REF!</v>
      </c>
      <c r="E25" s="87" t="e">
        <f>IF(VLOOKUP(A25,#REF!,5,FALSE)= "", "X",IF(VLOOKUP(A25,#REF!,5,FALSE)&gt;50,"Y","N"))</f>
        <v>#REF!</v>
      </c>
      <c r="F25" s="87" t="e">
        <f>IF(VLOOKUP(A25,#REF!,6,FALSE)= "", "X",IF(VLOOKUP(A25,#REF!,6,FALSE)&gt;50,"Y","N"))</f>
        <v>#REF!</v>
      </c>
      <c r="G25" s="87" t="e">
        <f>IF(VLOOKUP(A25,#REF!,7,FALSE)= "", "X",IF(VLOOKUP(A25,#REF!,7,FALSE)&gt;50,"Y","N"))</f>
        <v>#REF!</v>
      </c>
      <c r="H25" s="87" t="e">
        <f>IF(VLOOKUP(A25,#REF!,8,FALSE)= "", "X",IF(VLOOKUP(A25,#REF!,8,FALSE)&gt;50,"Y","N"))</f>
        <v>#REF!</v>
      </c>
      <c r="I25" s="87" t="e">
        <f>IF(VLOOKUP(A25,#REF!,9,FALSE)= "", "X",IF(VLOOKUP(A25,#REF!,9,FALSE)&gt;50,"Y","N"))</f>
        <v>#REF!</v>
      </c>
      <c r="J25" s="87" t="e">
        <f>IF(VLOOKUP(A25,#REF!,10,FALSE)= "", "X",IF(VLOOKUP(A25,#REF!,10,FALSE)&gt;50,"Y","N"))</f>
        <v>#REF!</v>
      </c>
      <c r="K25" s="87" t="e">
        <f>IF(VLOOKUP(A25,#REF!,11,FALSE)= "", "X",IF(VLOOKUP(A25,#REF!,11,FALSE)&gt;50,"Y","N"))</f>
        <v>#REF!</v>
      </c>
      <c r="L25" s="87" t="e">
        <f>IF(VLOOKUP(A25,#REF!,12,FALSE)= "", "X",IF(VLOOKUP(A25,#REF!,12,FALSE)&gt;50,"Y","N"))</f>
        <v>#REF!</v>
      </c>
      <c r="M25" s="87" t="e">
        <f>IF(VLOOKUP(A25,#REF!,13,FALSE)= "", "X",IF(VLOOKUP(A25,#REF!,13,FALSE)&gt;50,"Y","N"))</f>
        <v>#REF!</v>
      </c>
      <c r="N25" s="87" t="e">
        <f>IF(VLOOKUP(A25,#REF!,14,FALSE)= "", "X",IF(VLOOKUP(A25,#REF!,14,FALSE)&gt;50,"Y","N"))</f>
        <v>#REF!</v>
      </c>
    </row>
    <row r="26" spans="1:14" ht="16.5" thickBot="1" x14ac:dyDescent="0.3">
      <c r="A26" s="88" t="str">
        <f>(Gradesheet!B30)</f>
        <v>18CS28</v>
      </c>
      <c r="B26" s="89">
        <f>Gradesheet!C30</f>
        <v>0</v>
      </c>
      <c r="C26" s="87" t="e">
        <f>IF(VLOOKUP(A26,#REF!,3,FALSE)="", "X",IF(VLOOKUP(A26,#REF!,3,FALSE)&gt;50,"Y","N"))</f>
        <v>#REF!</v>
      </c>
      <c r="D26" s="87" t="e">
        <f>IF(VLOOKUP(A26,#REF!,4,FALSE)= "", "X",IF(VLOOKUP(A26,#REF!,4,FALSE)&gt;50,"Y","N"))</f>
        <v>#REF!</v>
      </c>
      <c r="E26" s="87" t="e">
        <f>IF(VLOOKUP(A26,#REF!,5,FALSE)= "", "X",IF(VLOOKUP(A26,#REF!,5,FALSE)&gt;50,"Y","N"))</f>
        <v>#REF!</v>
      </c>
      <c r="F26" s="87" t="e">
        <f>IF(VLOOKUP(A26,#REF!,6,FALSE)= "", "X",IF(VLOOKUP(A26,#REF!,6,FALSE)&gt;50,"Y","N"))</f>
        <v>#REF!</v>
      </c>
      <c r="G26" s="87" t="e">
        <f>IF(VLOOKUP(A26,#REF!,7,FALSE)= "", "X",IF(VLOOKUP(A26,#REF!,7,FALSE)&gt;50,"Y","N"))</f>
        <v>#REF!</v>
      </c>
      <c r="H26" s="87" t="e">
        <f>IF(VLOOKUP(A26,#REF!,8,FALSE)= "", "X",IF(VLOOKUP(A26,#REF!,8,FALSE)&gt;50,"Y","N"))</f>
        <v>#REF!</v>
      </c>
      <c r="I26" s="87" t="e">
        <f>IF(VLOOKUP(A26,#REF!,9,FALSE)= "", "X",IF(VLOOKUP(A26,#REF!,9,FALSE)&gt;50,"Y","N"))</f>
        <v>#REF!</v>
      </c>
      <c r="J26" s="87" t="e">
        <f>IF(VLOOKUP(A26,#REF!,10,FALSE)= "", "X",IF(VLOOKUP(A26,#REF!,10,FALSE)&gt;50,"Y","N"))</f>
        <v>#REF!</v>
      </c>
      <c r="K26" s="87" t="e">
        <f>IF(VLOOKUP(A26,#REF!,11,FALSE)= "", "X",IF(VLOOKUP(A26,#REF!,11,FALSE)&gt;50,"Y","N"))</f>
        <v>#REF!</v>
      </c>
      <c r="L26" s="87" t="e">
        <f>IF(VLOOKUP(A26,#REF!,12,FALSE)= "", "X",IF(VLOOKUP(A26,#REF!,12,FALSE)&gt;50,"Y","N"))</f>
        <v>#REF!</v>
      </c>
      <c r="M26" s="87" t="e">
        <f>IF(VLOOKUP(A26,#REF!,13,FALSE)= "", "X",IF(VLOOKUP(A26,#REF!,13,FALSE)&gt;50,"Y","N"))</f>
        <v>#REF!</v>
      </c>
      <c r="N26" s="87" t="e">
        <f>IF(VLOOKUP(A26,#REF!,14,FALSE)= "", "X",IF(VLOOKUP(A26,#REF!,14,FALSE)&gt;50,"Y","N"))</f>
        <v>#REF!</v>
      </c>
    </row>
    <row r="27" spans="1:14" ht="16.5" thickBot="1" x14ac:dyDescent="0.3">
      <c r="A27" s="88" t="str">
        <f>(Gradesheet!B31)</f>
        <v>18CS30</v>
      </c>
      <c r="B27" s="89">
        <f>Gradesheet!C31</f>
        <v>0</v>
      </c>
      <c r="C27" s="87" t="e">
        <f>IF(VLOOKUP(A27,#REF!,3,FALSE)="", "X",IF(VLOOKUP(A27,#REF!,3,FALSE)&gt;50,"Y","N"))</f>
        <v>#REF!</v>
      </c>
      <c r="D27" s="87" t="e">
        <f>IF(VLOOKUP(A27,#REF!,4,FALSE)= "", "X",IF(VLOOKUP(A27,#REF!,4,FALSE)&gt;50,"Y","N"))</f>
        <v>#REF!</v>
      </c>
      <c r="E27" s="87" t="e">
        <f>IF(VLOOKUP(A27,#REF!,5,FALSE)= "", "X",IF(VLOOKUP(A27,#REF!,5,FALSE)&gt;50,"Y","N"))</f>
        <v>#REF!</v>
      </c>
      <c r="F27" s="87" t="e">
        <f>IF(VLOOKUP(A27,#REF!,6,FALSE)= "", "X",IF(VLOOKUP(A27,#REF!,6,FALSE)&gt;50,"Y","N"))</f>
        <v>#REF!</v>
      </c>
      <c r="G27" s="87" t="e">
        <f>IF(VLOOKUP(A27,#REF!,7,FALSE)= "", "X",IF(VLOOKUP(A27,#REF!,7,FALSE)&gt;50,"Y","N"))</f>
        <v>#REF!</v>
      </c>
      <c r="H27" s="87" t="e">
        <f>IF(VLOOKUP(A27,#REF!,8,FALSE)= "", "X",IF(VLOOKUP(A27,#REF!,8,FALSE)&gt;50,"Y","N"))</f>
        <v>#REF!</v>
      </c>
      <c r="I27" s="87" t="e">
        <f>IF(VLOOKUP(A27,#REF!,9,FALSE)= "", "X",IF(VLOOKUP(A27,#REF!,9,FALSE)&gt;50,"Y","N"))</f>
        <v>#REF!</v>
      </c>
      <c r="J27" s="87" t="e">
        <f>IF(VLOOKUP(A27,#REF!,10,FALSE)= "", "X",IF(VLOOKUP(A27,#REF!,10,FALSE)&gt;50,"Y","N"))</f>
        <v>#REF!</v>
      </c>
      <c r="K27" s="87" t="e">
        <f>IF(VLOOKUP(A27,#REF!,11,FALSE)= "", "X",IF(VLOOKUP(A27,#REF!,11,FALSE)&gt;50,"Y","N"))</f>
        <v>#REF!</v>
      </c>
      <c r="L27" s="87" t="e">
        <f>IF(VLOOKUP(A27,#REF!,12,FALSE)= "", "X",IF(VLOOKUP(A27,#REF!,12,FALSE)&gt;50,"Y","N"))</f>
        <v>#REF!</v>
      </c>
      <c r="M27" s="87" t="e">
        <f>IF(VLOOKUP(A27,#REF!,13,FALSE)= "", "X",IF(VLOOKUP(A27,#REF!,13,FALSE)&gt;50,"Y","N"))</f>
        <v>#REF!</v>
      </c>
      <c r="N27" s="87" t="e">
        <f>IF(VLOOKUP(A27,#REF!,14,FALSE)= "", "X",IF(VLOOKUP(A27,#REF!,14,FALSE)&gt;50,"Y","N"))</f>
        <v>#REF!</v>
      </c>
    </row>
    <row r="28" spans="1:14" ht="16.5" thickBot="1" x14ac:dyDescent="0.3">
      <c r="A28" s="88" t="str">
        <f>(Gradesheet!B32)</f>
        <v>18CS31</v>
      </c>
      <c r="B28" s="89">
        <f>Gradesheet!C32</f>
        <v>0</v>
      </c>
      <c r="C28" s="87" t="e">
        <f>IF(VLOOKUP(A28,#REF!,3,FALSE)="", "X",IF(VLOOKUP(A28,#REF!,3,FALSE)&gt;50,"Y","N"))</f>
        <v>#REF!</v>
      </c>
      <c r="D28" s="87" t="e">
        <f>IF(VLOOKUP(A28,#REF!,4,FALSE)= "", "X",IF(VLOOKUP(A28,#REF!,4,FALSE)&gt;50,"Y","N"))</f>
        <v>#REF!</v>
      </c>
      <c r="E28" s="87" t="e">
        <f>IF(VLOOKUP(A28,#REF!,5,FALSE)= "", "X",IF(VLOOKUP(A28,#REF!,5,FALSE)&gt;50,"Y","N"))</f>
        <v>#REF!</v>
      </c>
      <c r="F28" s="87" t="e">
        <f>IF(VLOOKUP(A28,#REF!,6,FALSE)= "", "X",IF(VLOOKUP(A28,#REF!,6,FALSE)&gt;50,"Y","N"))</f>
        <v>#REF!</v>
      </c>
      <c r="G28" s="87" t="e">
        <f>IF(VLOOKUP(A28,#REF!,7,FALSE)= "", "X",IF(VLOOKUP(A28,#REF!,7,FALSE)&gt;50,"Y","N"))</f>
        <v>#REF!</v>
      </c>
      <c r="H28" s="87" t="e">
        <f>IF(VLOOKUP(A28,#REF!,8,FALSE)= "", "X",IF(VLOOKUP(A28,#REF!,8,FALSE)&gt;50,"Y","N"))</f>
        <v>#REF!</v>
      </c>
      <c r="I28" s="87" t="e">
        <f>IF(VLOOKUP(A28,#REF!,9,FALSE)= "", "X",IF(VLOOKUP(A28,#REF!,9,FALSE)&gt;50,"Y","N"))</f>
        <v>#REF!</v>
      </c>
      <c r="J28" s="87" t="e">
        <f>IF(VLOOKUP(A28,#REF!,10,FALSE)= "", "X",IF(VLOOKUP(A28,#REF!,10,FALSE)&gt;50,"Y","N"))</f>
        <v>#REF!</v>
      </c>
      <c r="K28" s="87" t="e">
        <f>IF(VLOOKUP(A28,#REF!,11,FALSE)= "", "X",IF(VLOOKUP(A28,#REF!,11,FALSE)&gt;50,"Y","N"))</f>
        <v>#REF!</v>
      </c>
      <c r="L28" s="87" t="e">
        <f>IF(VLOOKUP(A28,#REF!,12,FALSE)= "", "X",IF(VLOOKUP(A28,#REF!,12,FALSE)&gt;50,"Y","N"))</f>
        <v>#REF!</v>
      </c>
      <c r="M28" s="87" t="e">
        <f>IF(VLOOKUP(A28,#REF!,13,FALSE)= "", "X",IF(VLOOKUP(A28,#REF!,13,FALSE)&gt;50,"Y","N"))</f>
        <v>#REF!</v>
      </c>
      <c r="N28" s="87" t="e">
        <f>IF(VLOOKUP(A28,#REF!,14,FALSE)= "", "X",IF(VLOOKUP(A28,#REF!,14,FALSE)&gt;50,"Y","N"))</f>
        <v>#REF!</v>
      </c>
    </row>
    <row r="29" spans="1:14" ht="16.5" thickBot="1" x14ac:dyDescent="0.3">
      <c r="A29" s="88" t="str">
        <f>(Gradesheet!B33)</f>
        <v>18CS32</v>
      </c>
      <c r="B29" s="89">
        <f>Gradesheet!C33</f>
        <v>0</v>
      </c>
      <c r="C29" s="87" t="e">
        <f>IF(VLOOKUP(A29,#REF!,3,FALSE)="", "X",IF(VLOOKUP(A29,#REF!,3,FALSE)&gt;50,"Y","N"))</f>
        <v>#REF!</v>
      </c>
      <c r="D29" s="87" t="e">
        <f>IF(VLOOKUP(A29,#REF!,4,FALSE)= "", "X",IF(VLOOKUP(A29,#REF!,4,FALSE)&gt;50,"Y","N"))</f>
        <v>#REF!</v>
      </c>
      <c r="E29" s="87" t="e">
        <f>IF(VLOOKUP(A29,#REF!,5,FALSE)= "", "X",IF(VLOOKUP(A29,#REF!,5,FALSE)&gt;50,"Y","N"))</f>
        <v>#REF!</v>
      </c>
      <c r="F29" s="87" t="e">
        <f>IF(VLOOKUP(A29,#REF!,6,FALSE)= "", "X",IF(VLOOKUP(A29,#REF!,6,FALSE)&gt;50,"Y","N"))</f>
        <v>#REF!</v>
      </c>
      <c r="G29" s="87" t="e">
        <f>IF(VLOOKUP(A29,#REF!,7,FALSE)= "", "X",IF(VLOOKUP(A29,#REF!,7,FALSE)&gt;50,"Y","N"))</f>
        <v>#REF!</v>
      </c>
      <c r="H29" s="87" t="e">
        <f>IF(VLOOKUP(A29,#REF!,8,FALSE)= "", "X",IF(VLOOKUP(A29,#REF!,8,FALSE)&gt;50,"Y","N"))</f>
        <v>#REF!</v>
      </c>
      <c r="I29" s="87" t="e">
        <f>IF(VLOOKUP(A29,#REF!,9,FALSE)= "", "X",IF(VLOOKUP(A29,#REF!,9,FALSE)&gt;50,"Y","N"))</f>
        <v>#REF!</v>
      </c>
      <c r="J29" s="87" t="e">
        <f>IF(VLOOKUP(A29,#REF!,10,FALSE)= "", "X",IF(VLOOKUP(A29,#REF!,10,FALSE)&gt;50,"Y","N"))</f>
        <v>#REF!</v>
      </c>
      <c r="K29" s="87" t="e">
        <f>IF(VLOOKUP(A29,#REF!,11,FALSE)= "", "X",IF(VLOOKUP(A29,#REF!,11,FALSE)&gt;50,"Y","N"))</f>
        <v>#REF!</v>
      </c>
      <c r="L29" s="87" t="e">
        <f>IF(VLOOKUP(A29,#REF!,12,FALSE)= "", "X",IF(VLOOKUP(A29,#REF!,12,FALSE)&gt;50,"Y","N"))</f>
        <v>#REF!</v>
      </c>
      <c r="M29" s="87" t="e">
        <f>IF(VLOOKUP(A29,#REF!,13,FALSE)= "", "X",IF(VLOOKUP(A29,#REF!,13,FALSE)&gt;50,"Y","N"))</f>
        <v>#REF!</v>
      </c>
      <c r="N29" s="87" t="e">
        <f>IF(VLOOKUP(A29,#REF!,14,FALSE)= "", "X",IF(VLOOKUP(A29,#REF!,14,FALSE)&gt;50,"Y","N"))</f>
        <v>#REF!</v>
      </c>
    </row>
    <row r="30" spans="1:14" ht="16.5" thickBot="1" x14ac:dyDescent="0.3">
      <c r="A30" s="88" t="str">
        <f>(Gradesheet!B34)</f>
        <v>18CS33</v>
      </c>
      <c r="B30" s="89">
        <f>Gradesheet!C34</f>
        <v>0</v>
      </c>
      <c r="C30" s="87" t="e">
        <f>IF(VLOOKUP(A30,#REF!,3,FALSE)="", "X",IF(VLOOKUP(A30,#REF!,3,FALSE)&gt;50,"Y","N"))</f>
        <v>#REF!</v>
      </c>
      <c r="D30" s="87" t="e">
        <f>IF(VLOOKUP(A30,#REF!,4,FALSE)= "", "X",IF(VLOOKUP(A30,#REF!,4,FALSE)&gt;50,"Y","N"))</f>
        <v>#REF!</v>
      </c>
      <c r="E30" s="87" t="e">
        <f>IF(VLOOKUP(A30,#REF!,5,FALSE)= "", "X",IF(VLOOKUP(A30,#REF!,5,FALSE)&gt;50,"Y","N"))</f>
        <v>#REF!</v>
      </c>
      <c r="F30" s="87" t="e">
        <f>IF(VLOOKUP(A30,#REF!,6,FALSE)= "", "X",IF(VLOOKUP(A30,#REF!,6,FALSE)&gt;50,"Y","N"))</f>
        <v>#REF!</v>
      </c>
      <c r="G30" s="87" t="e">
        <f>IF(VLOOKUP(A30,#REF!,7,FALSE)= "", "X",IF(VLOOKUP(A30,#REF!,7,FALSE)&gt;50,"Y","N"))</f>
        <v>#REF!</v>
      </c>
      <c r="H30" s="87" t="e">
        <f>IF(VLOOKUP(A30,#REF!,8,FALSE)= "", "X",IF(VLOOKUP(A30,#REF!,8,FALSE)&gt;50,"Y","N"))</f>
        <v>#REF!</v>
      </c>
      <c r="I30" s="87" t="e">
        <f>IF(VLOOKUP(A30,#REF!,9,FALSE)= "", "X",IF(VLOOKUP(A30,#REF!,9,FALSE)&gt;50,"Y","N"))</f>
        <v>#REF!</v>
      </c>
      <c r="J30" s="87" t="e">
        <f>IF(VLOOKUP(A30,#REF!,10,FALSE)= "", "X",IF(VLOOKUP(A30,#REF!,10,FALSE)&gt;50,"Y","N"))</f>
        <v>#REF!</v>
      </c>
      <c r="K30" s="87" t="e">
        <f>IF(VLOOKUP(A30,#REF!,11,FALSE)= "", "X",IF(VLOOKUP(A30,#REF!,11,FALSE)&gt;50,"Y","N"))</f>
        <v>#REF!</v>
      </c>
      <c r="L30" s="87" t="e">
        <f>IF(VLOOKUP(A30,#REF!,12,FALSE)= "", "X",IF(VLOOKUP(A30,#REF!,12,FALSE)&gt;50,"Y","N"))</f>
        <v>#REF!</v>
      </c>
      <c r="M30" s="87" t="e">
        <f>IF(VLOOKUP(A30,#REF!,13,FALSE)= "", "X",IF(VLOOKUP(A30,#REF!,13,FALSE)&gt;50,"Y","N"))</f>
        <v>#REF!</v>
      </c>
      <c r="N30" s="87" t="e">
        <f>IF(VLOOKUP(A30,#REF!,14,FALSE)= "", "X",IF(VLOOKUP(A30,#REF!,14,FALSE)&gt;50,"Y","N"))</f>
        <v>#REF!</v>
      </c>
    </row>
    <row r="31" spans="1:14" ht="16.5" thickBot="1" x14ac:dyDescent="0.3">
      <c r="A31" s="88" t="str">
        <f>(Gradesheet!B35)</f>
        <v>18CS34</v>
      </c>
      <c r="B31" s="89">
        <f>Gradesheet!C35</f>
        <v>0</v>
      </c>
      <c r="C31" s="87" t="e">
        <f>IF(VLOOKUP(A31,#REF!,3,FALSE)="", "X",IF(VLOOKUP(A31,#REF!,3,FALSE)&gt;50,"Y","N"))</f>
        <v>#REF!</v>
      </c>
      <c r="D31" s="87" t="e">
        <f>IF(VLOOKUP(A31,#REF!,4,FALSE)= "", "X",IF(VLOOKUP(A31,#REF!,4,FALSE)&gt;50,"Y","N"))</f>
        <v>#REF!</v>
      </c>
      <c r="E31" s="87" t="e">
        <f>IF(VLOOKUP(A31,#REF!,5,FALSE)= "", "X",IF(VLOOKUP(A31,#REF!,5,FALSE)&gt;50,"Y","N"))</f>
        <v>#REF!</v>
      </c>
      <c r="F31" s="87" t="e">
        <f>IF(VLOOKUP(A31,#REF!,6,FALSE)= "", "X",IF(VLOOKUP(A31,#REF!,6,FALSE)&gt;50,"Y","N"))</f>
        <v>#REF!</v>
      </c>
      <c r="G31" s="87" t="e">
        <f>IF(VLOOKUP(A31,#REF!,7,FALSE)= "", "X",IF(VLOOKUP(A31,#REF!,7,FALSE)&gt;50,"Y","N"))</f>
        <v>#REF!</v>
      </c>
      <c r="H31" s="87" t="e">
        <f>IF(VLOOKUP(A31,#REF!,8,FALSE)= "", "X",IF(VLOOKUP(A31,#REF!,8,FALSE)&gt;50,"Y","N"))</f>
        <v>#REF!</v>
      </c>
      <c r="I31" s="87" t="e">
        <f>IF(VLOOKUP(A31,#REF!,9,FALSE)= "", "X",IF(VLOOKUP(A31,#REF!,9,FALSE)&gt;50,"Y","N"))</f>
        <v>#REF!</v>
      </c>
      <c r="J31" s="87" t="e">
        <f>IF(VLOOKUP(A31,#REF!,10,FALSE)= "", "X",IF(VLOOKUP(A31,#REF!,10,FALSE)&gt;50,"Y","N"))</f>
        <v>#REF!</v>
      </c>
      <c r="K31" s="87" t="e">
        <f>IF(VLOOKUP(A31,#REF!,11,FALSE)= "", "X",IF(VLOOKUP(A31,#REF!,11,FALSE)&gt;50,"Y","N"))</f>
        <v>#REF!</v>
      </c>
      <c r="L31" s="87" t="e">
        <f>IF(VLOOKUP(A31,#REF!,12,FALSE)= "", "X",IF(VLOOKUP(A31,#REF!,12,FALSE)&gt;50,"Y","N"))</f>
        <v>#REF!</v>
      </c>
      <c r="M31" s="87" t="e">
        <f>IF(VLOOKUP(A31,#REF!,13,FALSE)= "", "X",IF(VLOOKUP(A31,#REF!,13,FALSE)&gt;50,"Y","N"))</f>
        <v>#REF!</v>
      </c>
      <c r="N31" s="87" t="e">
        <f>IF(VLOOKUP(A31,#REF!,14,FALSE)= "", "X",IF(VLOOKUP(A31,#REF!,14,FALSE)&gt;50,"Y","N"))</f>
        <v>#REF!</v>
      </c>
    </row>
    <row r="32" spans="1:14" ht="16.5" thickBot="1" x14ac:dyDescent="0.3">
      <c r="A32" s="88" t="str">
        <f>(Gradesheet!B36)</f>
        <v>18CS35</v>
      </c>
      <c r="B32" s="89">
        <f>Gradesheet!C36</f>
        <v>0</v>
      </c>
      <c r="C32" s="87" t="e">
        <f>IF(VLOOKUP(A32,#REF!,3,FALSE)="", "X",IF(VLOOKUP(A32,#REF!,3,FALSE)&gt;50,"Y","N"))</f>
        <v>#REF!</v>
      </c>
      <c r="D32" s="87" t="e">
        <f>IF(VLOOKUP(A32,#REF!,4,FALSE)= "", "X",IF(VLOOKUP(A32,#REF!,4,FALSE)&gt;50,"Y","N"))</f>
        <v>#REF!</v>
      </c>
      <c r="E32" s="87" t="e">
        <f>IF(VLOOKUP(A32,#REF!,5,FALSE)= "", "X",IF(VLOOKUP(A32,#REF!,5,FALSE)&gt;50,"Y","N"))</f>
        <v>#REF!</v>
      </c>
      <c r="F32" s="87" t="e">
        <f>IF(VLOOKUP(A32,#REF!,6,FALSE)= "", "X",IF(VLOOKUP(A32,#REF!,6,FALSE)&gt;50,"Y","N"))</f>
        <v>#REF!</v>
      </c>
      <c r="G32" s="87" t="e">
        <f>IF(VLOOKUP(A32,#REF!,7,FALSE)= "", "X",IF(VLOOKUP(A32,#REF!,7,FALSE)&gt;50,"Y","N"))</f>
        <v>#REF!</v>
      </c>
      <c r="H32" s="87" t="e">
        <f>IF(VLOOKUP(A32,#REF!,8,FALSE)= "", "X",IF(VLOOKUP(A32,#REF!,8,FALSE)&gt;50,"Y","N"))</f>
        <v>#REF!</v>
      </c>
      <c r="I32" s="87" t="e">
        <f>IF(VLOOKUP(A32,#REF!,9,FALSE)= "", "X",IF(VLOOKUP(A32,#REF!,9,FALSE)&gt;50,"Y","N"))</f>
        <v>#REF!</v>
      </c>
      <c r="J32" s="87" t="e">
        <f>IF(VLOOKUP(A32,#REF!,10,FALSE)= "", "X",IF(VLOOKUP(A32,#REF!,10,FALSE)&gt;50,"Y","N"))</f>
        <v>#REF!</v>
      </c>
      <c r="K32" s="87" t="e">
        <f>IF(VLOOKUP(A32,#REF!,11,FALSE)= "", "X",IF(VLOOKUP(A32,#REF!,11,FALSE)&gt;50,"Y","N"))</f>
        <v>#REF!</v>
      </c>
      <c r="L32" s="87" t="e">
        <f>IF(VLOOKUP(A32,#REF!,12,FALSE)= "", "X",IF(VLOOKUP(A32,#REF!,12,FALSE)&gt;50,"Y","N"))</f>
        <v>#REF!</v>
      </c>
      <c r="M32" s="87" t="e">
        <f>IF(VLOOKUP(A32,#REF!,13,FALSE)= "", "X",IF(VLOOKUP(A32,#REF!,13,FALSE)&gt;50,"Y","N"))</f>
        <v>#REF!</v>
      </c>
      <c r="N32" s="87" t="e">
        <f>IF(VLOOKUP(A32,#REF!,14,FALSE)= "", "X",IF(VLOOKUP(A32,#REF!,14,FALSE)&gt;50,"Y","N"))</f>
        <v>#REF!</v>
      </c>
    </row>
    <row r="33" spans="1:14" ht="16.5" thickBot="1" x14ac:dyDescent="0.3">
      <c r="A33" s="88" t="str">
        <f>(Gradesheet!B37)</f>
        <v>18CS36</v>
      </c>
      <c r="B33" s="89">
        <f>Gradesheet!C37</f>
        <v>0</v>
      </c>
      <c r="C33" s="87" t="e">
        <f>IF(VLOOKUP(A33,#REF!,3,FALSE)="", "X",IF(VLOOKUP(A33,#REF!,3,FALSE)&gt;50,"Y","N"))</f>
        <v>#REF!</v>
      </c>
      <c r="D33" s="87" t="e">
        <f>IF(VLOOKUP(A33,#REF!,4,FALSE)= "", "X",IF(VLOOKUP(A33,#REF!,4,FALSE)&gt;50,"Y","N"))</f>
        <v>#REF!</v>
      </c>
      <c r="E33" s="87" t="e">
        <f>IF(VLOOKUP(A33,#REF!,5,FALSE)= "", "X",IF(VLOOKUP(A33,#REF!,5,FALSE)&gt;50,"Y","N"))</f>
        <v>#REF!</v>
      </c>
      <c r="F33" s="87" t="e">
        <f>IF(VLOOKUP(A33,#REF!,6,FALSE)= "", "X",IF(VLOOKUP(A33,#REF!,6,FALSE)&gt;50,"Y","N"))</f>
        <v>#REF!</v>
      </c>
      <c r="G33" s="87" t="e">
        <f>IF(VLOOKUP(A33,#REF!,7,FALSE)= "", "X",IF(VLOOKUP(A33,#REF!,7,FALSE)&gt;50,"Y","N"))</f>
        <v>#REF!</v>
      </c>
      <c r="H33" s="87" t="e">
        <f>IF(VLOOKUP(A33,#REF!,8,FALSE)= "", "X",IF(VLOOKUP(A33,#REF!,8,FALSE)&gt;50,"Y","N"))</f>
        <v>#REF!</v>
      </c>
      <c r="I33" s="87" t="e">
        <f>IF(VLOOKUP(A33,#REF!,9,FALSE)= "", "X",IF(VLOOKUP(A33,#REF!,9,FALSE)&gt;50,"Y","N"))</f>
        <v>#REF!</v>
      </c>
      <c r="J33" s="87" t="e">
        <f>IF(VLOOKUP(A33,#REF!,10,FALSE)= "", "X",IF(VLOOKUP(A33,#REF!,10,FALSE)&gt;50,"Y","N"))</f>
        <v>#REF!</v>
      </c>
      <c r="K33" s="87" t="e">
        <f>IF(VLOOKUP(A33,#REF!,11,FALSE)= "", "X",IF(VLOOKUP(A33,#REF!,11,FALSE)&gt;50,"Y","N"))</f>
        <v>#REF!</v>
      </c>
      <c r="L33" s="87" t="e">
        <f>IF(VLOOKUP(A33,#REF!,12,FALSE)= "", "X",IF(VLOOKUP(A33,#REF!,12,FALSE)&gt;50,"Y","N"))</f>
        <v>#REF!</v>
      </c>
      <c r="M33" s="87" t="e">
        <f>IF(VLOOKUP(A33,#REF!,13,FALSE)= "", "X",IF(VLOOKUP(A33,#REF!,13,FALSE)&gt;50,"Y","N"))</f>
        <v>#REF!</v>
      </c>
      <c r="N33" s="87" t="e">
        <f>IF(VLOOKUP(A33,#REF!,14,FALSE)= "", "X",IF(VLOOKUP(A33,#REF!,14,FALSE)&gt;50,"Y","N"))</f>
        <v>#REF!</v>
      </c>
    </row>
    <row r="34" spans="1:14" ht="16.5" thickBot="1" x14ac:dyDescent="0.3">
      <c r="A34" s="88" t="str">
        <f>(Gradesheet!B38)</f>
        <v>18CS37</v>
      </c>
      <c r="B34" s="89">
        <f>Gradesheet!C38</f>
        <v>0</v>
      </c>
      <c r="C34" s="87" t="e">
        <f>IF(VLOOKUP(A34,#REF!,3,FALSE)="", "X",IF(VLOOKUP(A34,#REF!,3,FALSE)&gt;50,"Y","N"))</f>
        <v>#REF!</v>
      </c>
      <c r="D34" s="87" t="e">
        <f>IF(VLOOKUP(A34,#REF!,4,FALSE)= "", "X",IF(VLOOKUP(A34,#REF!,4,FALSE)&gt;50,"Y","N"))</f>
        <v>#REF!</v>
      </c>
      <c r="E34" s="87" t="e">
        <f>IF(VLOOKUP(A34,#REF!,5,FALSE)= "", "X",IF(VLOOKUP(A34,#REF!,5,FALSE)&gt;50,"Y","N"))</f>
        <v>#REF!</v>
      </c>
      <c r="F34" s="87" t="e">
        <f>IF(VLOOKUP(A34,#REF!,6,FALSE)= "", "X",IF(VLOOKUP(A34,#REF!,6,FALSE)&gt;50,"Y","N"))</f>
        <v>#REF!</v>
      </c>
      <c r="G34" s="87" t="e">
        <f>IF(VLOOKUP(A34,#REF!,7,FALSE)= "", "X",IF(VLOOKUP(A34,#REF!,7,FALSE)&gt;50,"Y","N"))</f>
        <v>#REF!</v>
      </c>
      <c r="H34" s="87" t="e">
        <f>IF(VLOOKUP(A34,#REF!,8,FALSE)= "", "X",IF(VLOOKUP(A34,#REF!,8,FALSE)&gt;50,"Y","N"))</f>
        <v>#REF!</v>
      </c>
      <c r="I34" s="87" t="e">
        <f>IF(VLOOKUP(A34,#REF!,9,FALSE)= "", "X",IF(VLOOKUP(A34,#REF!,9,FALSE)&gt;50,"Y","N"))</f>
        <v>#REF!</v>
      </c>
      <c r="J34" s="87" t="e">
        <f>IF(VLOOKUP(A34,#REF!,10,FALSE)= "", "X",IF(VLOOKUP(A34,#REF!,10,FALSE)&gt;50,"Y","N"))</f>
        <v>#REF!</v>
      </c>
      <c r="K34" s="87" t="e">
        <f>IF(VLOOKUP(A34,#REF!,11,FALSE)= "", "X",IF(VLOOKUP(A34,#REF!,11,FALSE)&gt;50,"Y","N"))</f>
        <v>#REF!</v>
      </c>
      <c r="L34" s="87" t="e">
        <f>IF(VLOOKUP(A34,#REF!,12,FALSE)= "", "X",IF(VLOOKUP(A34,#REF!,12,FALSE)&gt;50,"Y","N"))</f>
        <v>#REF!</v>
      </c>
      <c r="M34" s="87" t="e">
        <f>IF(VLOOKUP(A34,#REF!,13,FALSE)= "", "X",IF(VLOOKUP(A34,#REF!,13,FALSE)&gt;50,"Y","N"))</f>
        <v>#REF!</v>
      </c>
      <c r="N34" s="87" t="e">
        <f>IF(VLOOKUP(A34,#REF!,14,FALSE)= "", "X",IF(VLOOKUP(A34,#REF!,14,FALSE)&gt;50,"Y","N"))</f>
        <v>#REF!</v>
      </c>
    </row>
    <row r="35" spans="1:14" ht="16.5" thickBot="1" x14ac:dyDescent="0.3">
      <c r="A35" s="88" t="str">
        <f>(Gradesheet!B39)</f>
        <v>18CS38</v>
      </c>
      <c r="B35" s="89">
        <f>Gradesheet!C39</f>
        <v>0</v>
      </c>
      <c r="C35" s="87" t="e">
        <f>IF(VLOOKUP(A35,#REF!,3,FALSE)="", "X",IF(VLOOKUP(A35,#REF!,3,FALSE)&gt;50,"Y","N"))</f>
        <v>#REF!</v>
      </c>
      <c r="D35" s="87" t="e">
        <f>IF(VLOOKUP(A35,#REF!,4,FALSE)= "", "X",IF(VLOOKUP(A35,#REF!,4,FALSE)&gt;50,"Y","N"))</f>
        <v>#REF!</v>
      </c>
      <c r="E35" s="87" t="e">
        <f>IF(VLOOKUP(A35,#REF!,5,FALSE)= "", "X",IF(VLOOKUP(A35,#REF!,5,FALSE)&gt;50,"Y","N"))</f>
        <v>#REF!</v>
      </c>
      <c r="F35" s="87" t="e">
        <f>IF(VLOOKUP(A35,#REF!,6,FALSE)= "", "X",IF(VLOOKUP(A35,#REF!,6,FALSE)&gt;50,"Y","N"))</f>
        <v>#REF!</v>
      </c>
      <c r="G35" s="87" t="e">
        <f>IF(VLOOKUP(A35,#REF!,7,FALSE)= "", "X",IF(VLOOKUP(A35,#REF!,7,FALSE)&gt;50,"Y","N"))</f>
        <v>#REF!</v>
      </c>
      <c r="H35" s="87" t="e">
        <f>IF(VLOOKUP(A35,#REF!,8,FALSE)= "", "X",IF(VLOOKUP(A35,#REF!,8,FALSE)&gt;50,"Y","N"))</f>
        <v>#REF!</v>
      </c>
      <c r="I35" s="87" t="e">
        <f>IF(VLOOKUP(A35,#REF!,9,FALSE)= "", "X",IF(VLOOKUP(A35,#REF!,9,FALSE)&gt;50,"Y","N"))</f>
        <v>#REF!</v>
      </c>
      <c r="J35" s="87" t="e">
        <f>IF(VLOOKUP(A35,#REF!,10,FALSE)= "", "X",IF(VLOOKUP(A35,#REF!,10,FALSE)&gt;50,"Y","N"))</f>
        <v>#REF!</v>
      </c>
      <c r="K35" s="87" t="e">
        <f>IF(VLOOKUP(A35,#REF!,11,FALSE)= "", "X",IF(VLOOKUP(A35,#REF!,11,FALSE)&gt;50,"Y","N"))</f>
        <v>#REF!</v>
      </c>
      <c r="L35" s="87" t="e">
        <f>IF(VLOOKUP(A35,#REF!,12,FALSE)= "", "X",IF(VLOOKUP(A35,#REF!,12,FALSE)&gt;50,"Y","N"))</f>
        <v>#REF!</v>
      </c>
      <c r="M35" s="87" t="e">
        <f>IF(VLOOKUP(A35,#REF!,13,FALSE)= "", "X",IF(VLOOKUP(A35,#REF!,13,FALSE)&gt;50,"Y","N"))</f>
        <v>#REF!</v>
      </c>
      <c r="N35" s="87" t="e">
        <f>IF(VLOOKUP(A35,#REF!,14,FALSE)= "", "X",IF(VLOOKUP(A35,#REF!,14,FALSE)&gt;50,"Y","N"))</f>
        <v>#REF!</v>
      </c>
    </row>
    <row r="36" spans="1:14" ht="16.5" thickBot="1" x14ac:dyDescent="0.3">
      <c r="A36" s="88" t="str">
        <f>(Gradesheet!B40)</f>
        <v>18CS39</v>
      </c>
      <c r="B36" s="89">
        <f>Gradesheet!C40</f>
        <v>0</v>
      </c>
      <c r="C36" s="87" t="e">
        <f>IF(VLOOKUP(A36,#REF!,3,FALSE)="", "X",IF(VLOOKUP(A36,#REF!,3,FALSE)&gt;50,"Y","N"))</f>
        <v>#REF!</v>
      </c>
      <c r="D36" s="87" t="e">
        <f>IF(VLOOKUP(A36,#REF!,4,FALSE)= "", "X",IF(VLOOKUP(A36,#REF!,4,FALSE)&gt;50,"Y","N"))</f>
        <v>#REF!</v>
      </c>
      <c r="E36" s="87" t="e">
        <f>IF(VLOOKUP(A36,#REF!,5,FALSE)= "", "X",IF(VLOOKUP(A36,#REF!,5,FALSE)&gt;50,"Y","N"))</f>
        <v>#REF!</v>
      </c>
      <c r="F36" s="87" t="e">
        <f>IF(VLOOKUP(A36,#REF!,6,FALSE)= "", "X",IF(VLOOKUP(A36,#REF!,6,FALSE)&gt;50,"Y","N"))</f>
        <v>#REF!</v>
      </c>
      <c r="G36" s="87" t="e">
        <f>IF(VLOOKUP(A36,#REF!,7,FALSE)= "", "X",IF(VLOOKUP(A36,#REF!,7,FALSE)&gt;50,"Y","N"))</f>
        <v>#REF!</v>
      </c>
      <c r="H36" s="87" t="e">
        <f>IF(VLOOKUP(A36,#REF!,8,FALSE)= "", "X",IF(VLOOKUP(A36,#REF!,8,FALSE)&gt;50,"Y","N"))</f>
        <v>#REF!</v>
      </c>
      <c r="I36" s="87" t="e">
        <f>IF(VLOOKUP(A36,#REF!,9,FALSE)= "", "X",IF(VLOOKUP(A36,#REF!,9,FALSE)&gt;50,"Y","N"))</f>
        <v>#REF!</v>
      </c>
      <c r="J36" s="87" t="e">
        <f>IF(VLOOKUP(A36,#REF!,10,FALSE)= "", "X",IF(VLOOKUP(A36,#REF!,10,FALSE)&gt;50,"Y","N"))</f>
        <v>#REF!</v>
      </c>
      <c r="K36" s="87" t="e">
        <f>IF(VLOOKUP(A36,#REF!,11,FALSE)= "", "X",IF(VLOOKUP(A36,#REF!,11,FALSE)&gt;50,"Y","N"))</f>
        <v>#REF!</v>
      </c>
      <c r="L36" s="87" t="e">
        <f>IF(VLOOKUP(A36,#REF!,12,FALSE)= "", "X",IF(VLOOKUP(A36,#REF!,12,FALSE)&gt;50,"Y","N"))</f>
        <v>#REF!</v>
      </c>
      <c r="M36" s="87" t="e">
        <f>IF(VLOOKUP(A36,#REF!,13,FALSE)= "", "X",IF(VLOOKUP(A36,#REF!,13,FALSE)&gt;50,"Y","N"))</f>
        <v>#REF!</v>
      </c>
      <c r="N36" s="87" t="e">
        <f>IF(VLOOKUP(A36,#REF!,14,FALSE)= "", "X",IF(VLOOKUP(A36,#REF!,14,FALSE)&gt;50,"Y","N"))</f>
        <v>#REF!</v>
      </c>
    </row>
    <row r="37" spans="1:14" ht="16.5" thickBot="1" x14ac:dyDescent="0.3">
      <c r="A37" s="88" t="str">
        <f>(Gradesheet!B41)</f>
        <v>18CS40</v>
      </c>
      <c r="B37" s="89">
        <f>Gradesheet!C41</f>
        <v>0</v>
      </c>
      <c r="C37" s="87" t="e">
        <f>IF(VLOOKUP(A37,#REF!,3,FALSE)="", "X",IF(VLOOKUP(A37,#REF!,3,FALSE)&gt;50,"Y","N"))</f>
        <v>#REF!</v>
      </c>
      <c r="D37" s="87" t="e">
        <f>IF(VLOOKUP(A37,#REF!,4,FALSE)= "", "X",IF(VLOOKUP(A37,#REF!,4,FALSE)&gt;50,"Y","N"))</f>
        <v>#REF!</v>
      </c>
      <c r="E37" s="87" t="e">
        <f>IF(VLOOKUP(A37,#REF!,5,FALSE)= "", "X",IF(VLOOKUP(A37,#REF!,5,FALSE)&gt;50,"Y","N"))</f>
        <v>#REF!</v>
      </c>
      <c r="F37" s="87" t="e">
        <f>IF(VLOOKUP(A37,#REF!,6,FALSE)= "", "X",IF(VLOOKUP(A37,#REF!,6,FALSE)&gt;50,"Y","N"))</f>
        <v>#REF!</v>
      </c>
      <c r="G37" s="87" t="e">
        <f>IF(VLOOKUP(A37,#REF!,7,FALSE)= "", "X",IF(VLOOKUP(A37,#REF!,7,FALSE)&gt;50,"Y","N"))</f>
        <v>#REF!</v>
      </c>
      <c r="H37" s="87" t="e">
        <f>IF(VLOOKUP(A37,#REF!,8,FALSE)= "", "X",IF(VLOOKUP(A37,#REF!,8,FALSE)&gt;50,"Y","N"))</f>
        <v>#REF!</v>
      </c>
      <c r="I37" s="87" t="e">
        <f>IF(VLOOKUP(A37,#REF!,9,FALSE)= "", "X",IF(VLOOKUP(A37,#REF!,9,FALSE)&gt;50,"Y","N"))</f>
        <v>#REF!</v>
      </c>
      <c r="J37" s="87" t="e">
        <f>IF(VLOOKUP(A37,#REF!,10,FALSE)= "", "X",IF(VLOOKUP(A37,#REF!,10,FALSE)&gt;50,"Y","N"))</f>
        <v>#REF!</v>
      </c>
      <c r="K37" s="87" t="e">
        <f>IF(VLOOKUP(A37,#REF!,11,FALSE)= "", "X",IF(VLOOKUP(A37,#REF!,11,FALSE)&gt;50,"Y","N"))</f>
        <v>#REF!</v>
      </c>
      <c r="L37" s="87" t="e">
        <f>IF(VLOOKUP(A37,#REF!,12,FALSE)= "", "X",IF(VLOOKUP(A37,#REF!,12,FALSE)&gt;50,"Y","N"))</f>
        <v>#REF!</v>
      </c>
      <c r="M37" s="87" t="e">
        <f>IF(VLOOKUP(A37,#REF!,13,FALSE)= "", "X",IF(VLOOKUP(A37,#REF!,13,FALSE)&gt;50,"Y","N"))</f>
        <v>#REF!</v>
      </c>
      <c r="N37" s="87" t="e">
        <f>IF(VLOOKUP(A37,#REF!,14,FALSE)= "", "X",IF(VLOOKUP(A37,#REF!,14,FALSE)&gt;50,"Y","N"))</f>
        <v>#REF!</v>
      </c>
    </row>
    <row r="38" spans="1:14" ht="16.5" thickBot="1" x14ac:dyDescent="0.3">
      <c r="A38" s="88" t="str">
        <f>(Gradesheet!B42)</f>
        <v>18CS42</v>
      </c>
      <c r="B38" s="89">
        <f>Gradesheet!C42</f>
        <v>0</v>
      </c>
      <c r="C38" s="87" t="e">
        <f>IF(VLOOKUP(A38,#REF!,3,FALSE)="", "X",IF(VLOOKUP(A38,#REF!,3,FALSE)&gt;50,"Y","N"))</f>
        <v>#REF!</v>
      </c>
      <c r="D38" s="87" t="e">
        <f>IF(VLOOKUP(A38,#REF!,4,FALSE)= "", "X",IF(VLOOKUP(A38,#REF!,4,FALSE)&gt;50,"Y","N"))</f>
        <v>#REF!</v>
      </c>
      <c r="E38" s="87" t="e">
        <f>IF(VLOOKUP(A38,#REF!,5,FALSE)= "", "X",IF(VLOOKUP(A38,#REF!,5,FALSE)&gt;50,"Y","N"))</f>
        <v>#REF!</v>
      </c>
      <c r="F38" s="87" t="e">
        <f>IF(VLOOKUP(A38,#REF!,6,FALSE)= "", "X",IF(VLOOKUP(A38,#REF!,6,FALSE)&gt;50,"Y","N"))</f>
        <v>#REF!</v>
      </c>
      <c r="G38" s="87" t="e">
        <f>IF(VLOOKUP(A38,#REF!,7,FALSE)= "", "X",IF(VLOOKUP(A38,#REF!,7,FALSE)&gt;50,"Y","N"))</f>
        <v>#REF!</v>
      </c>
      <c r="H38" s="87" t="e">
        <f>IF(VLOOKUP(A38,#REF!,8,FALSE)= "", "X",IF(VLOOKUP(A38,#REF!,8,FALSE)&gt;50,"Y","N"))</f>
        <v>#REF!</v>
      </c>
      <c r="I38" s="87" t="e">
        <f>IF(VLOOKUP(A38,#REF!,9,FALSE)= "", "X",IF(VLOOKUP(A38,#REF!,9,FALSE)&gt;50,"Y","N"))</f>
        <v>#REF!</v>
      </c>
      <c r="J38" s="87" t="e">
        <f>IF(VLOOKUP(A38,#REF!,10,FALSE)= "", "X",IF(VLOOKUP(A38,#REF!,10,FALSE)&gt;50,"Y","N"))</f>
        <v>#REF!</v>
      </c>
      <c r="K38" s="87" t="e">
        <f>IF(VLOOKUP(A38,#REF!,11,FALSE)= "", "X",IF(VLOOKUP(A38,#REF!,11,FALSE)&gt;50,"Y","N"))</f>
        <v>#REF!</v>
      </c>
      <c r="L38" s="87" t="e">
        <f>IF(VLOOKUP(A38,#REF!,12,FALSE)= "", "X",IF(VLOOKUP(A38,#REF!,12,FALSE)&gt;50,"Y","N"))</f>
        <v>#REF!</v>
      </c>
      <c r="M38" s="87" t="e">
        <f>IF(VLOOKUP(A38,#REF!,13,FALSE)= "", "X",IF(VLOOKUP(A38,#REF!,13,FALSE)&gt;50,"Y","N"))</f>
        <v>#REF!</v>
      </c>
      <c r="N38" s="87" t="e">
        <f>IF(VLOOKUP(A38,#REF!,14,FALSE)= "", "X",IF(VLOOKUP(A38,#REF!,14,FALSE)&gt;50,"Y","N"))</f>
        <v>#REF!</v>
      </c>
    </row>
    <row r="39" spans="1:14" ht="16.5" thickBot="1" x14ac:dyDescent="0.3">
      <c r="A39" s="88" t="str">
        <f>(Gradesheet!B43)</f>
        <v>18CS43</v>
      </c>
      <c r="B39" s="89">
        <f>Gradesheet!C43</f>
        <v>0</v>
      </c>
      <c r="C39" s="87" t="e">
        <f>IF(VLOOKUP(A39,#REF!,3,FALSE)="", "X",IF(VLOOKUP(A39,#REF!,3,FALSE)&gt;50,"Y","N"))</f>
        <v>#REF!</v>
      </c>
      <c r="D39" s="87" t="e">
        <f>IF(VLOOKUP(A39,#REF!,4,FALSE)= "", "X",IF(VLOOKUP(A39,#REF!,4,FALSE)&gt;50,"Y","N"))</f>
        <v>#REF!</v>
      </c>
      <c r="E39" s="87" t="e">
        <f>IF(VLOOKUP(A39,#REF!,5,FALSE)= "", "X",IF(VLOOKUP(A39,#REF!,5,FALSE)&gt;50,"Y","N"))</f>
        <v>#REF!</v>
      </c>
      <c r="F39" s="87" t="e">
        <f>IF(VLOOKUP(A39,#REF!,6,FALSE)= "", "X",IF(VLOOKUP(A39,#REF!,6,FALSE)&gt;50,"Y","N"))</f>
        <v>#REF!</v>
      </c>
      <c r="G39" s="87" t="e">
        <f>IF(VLOOKUP(A39,#REF!,7,FALSE)= "", "X",IF(VLOOKUP(A39,#REF!,7,FALSE)&gt;50,"Y","N"))</f>
        <v>#REF!</v>
      </c>
      <c r="H39" s="87" t="e">
        <f>IF(VLOOKUP(A39,#REF!,8,FALSE)= "", "X",IF(VLOOKUP(A39,#REF!,8,FALSE)&gt;50,"Y","N"))</f>
        <v>#REF!</v>
      </c>
      <c r="I39" s="87" t="e">
        <f>IF(VLOOKUP(A39,#REF!,9,FALSE)= "", "X",IF(VLOOKUP(A39,#REF!,9,FALSE)&gt;50,"Y","N"))</f>
        <v>#REF!</v>
      </c>
      <c r="J39" s="87" t="e">
        <f>IF(VLOOKUP(A39,#REF!,10,FALSE)= "", "X",IF(VLOOKUP(A39,#REF!,10,FALSE)&gt;50,"Y","N"))</f>
        <v>#REF!</v>
      </c>
      <c r="K39" s="87" t="e">
        <f>IF(VLOOKUP(A39,#REF!,11,FALSE)= "", "X",IF(VLOOKUP(A39,#REF!,11,FALSE)&gt;50,"Y","N"))</f>
        <v>#REF!</v>
      </c>
      <c r="L39" s="87" t="e">
        <f>IF(VLOOKUP(A39,#REF!,12,FALSE)= "", "X",IF(VLOOKUP(A39,#REF!,12,FALSE)&gt;50,"Y","N"))</f>
        <v>#REF!</v>
      </c>
      <c r="M39" s="87" t="e">
        <f>IF(VLOOKUP(A39,#REF!,13,FALSE)= "", "X",IF(VLOOKUP(A39,#REF!,13,FALSE)&gt;50,"Y","N"))</f>
        <v>#REF!</v>
      </c>
      <c r="N39" s="87" t="e">
        <f>IF(VLOOKUP(A39,#REF!,14,FALSE)= "", "X",IF(VLOOKUP(A39,#REF!,14,FALSE)&gt;50,"Y","N"))</f>
        <v>#REF!</v>
      </c>
    </row>
    <row r="40" spans="1:14" ht="16.5" thickBot="1" x14ac:dyDescent="0.3">
      <c r="A40" s="88" t="str">
        <f>(Gradesheet!B44)</f>
        <v>18CS45</v>
      </c>
      <c r="B40" s="89">
        <f>Gradesheet!C44</f>
        <v>0</v>
      </c>
      <c r="C40" s="87" t="e">
        <f>IF(VLOOKUP(A40,#REF!,3,FALSE)="", "X",IF(VLOOKUP(A40,#REF!,3,FALSE)&gt;50,"Y","N"))</f>
        <v>#REF!</v>
      </c>
      <c r="D40" s="87" t="e">
        <f>IF(VLOOKUP(A40,#REF!,4,FALSE)= "", "X",IF(VLOOKUP(A40,#REF!,4,FALSE)&gt;50,"Y","N"))</f>
        <v>#REF!</v>
      </c>
      <c r="E40" s="87" t="e">
        <f>IF(VLOOKUP(A40,#REF!,5,FALSE)= "", "X",IF(VLOOKUP(A40,#REF!,5,FALSE)&gt;50,"Y","N"))</f>
        <v>#REF!</v>
      </c>
      <c r="F40" s="87" t="e">
        <f>IF(VLOOKUP(A40,#REF!,6,FALSE)= "", "X",IF(VLOOKUP(A40,#REF!,6,FALSE)&gt;50,"Y","N"))</f>
        <v>#REF!</v>
      </c>
      <c r="G40" s="87" t="e">
        <f>IF(VLOOKUP(A40,#REF!,7,FALSE)= "", "X",IF(VLOOKUP(A40,#REF!,7,FALSE)&gt;50,"Y","N"))</f>
        <v>#REF!</v>
      </c>
      <c r="H40" s="87" t="e">
        <f>IF(VLOOKUP(A40,#REF!,8,FALSE)= "", "X",IF(VLOOKUP(A40,#REF!,8,FALSE)&gt;50,"Y","N"))</f>
        <v>#REF!</v>
      </c>
      <c r="I40" s="87" t="e">
        <f>IF(VLOOKUP(A40,#REF!,9,FALSE)= "", "X",IF(VLOOKUP(A40,#REF!,9,FALSE)&gt;50,"Y","N"))</f>
        <v>#REF!</v>
      </c>
      <c r="J40" s="87" t="e">
        <f>IF(VLOOKUP(A40,#REF!,10,FALSE)= "", "X",IF(VLOOKUP(A40,#REF!,10,FALSE)&gt;50,"Y","N"))</f>
        <v>#REF!</v>
      </c>
      <c r="K40" s="87" t="e">
        <f>IF(VLOOKUP(A40,#REF!,11,FALSE)= "", "X",IF(VLOOKUP(A40,#REF!,11,FALSE)&gt;50,"Y","N"))</f>
        <v>#REF!</v>
      </c>
      <c r="L40" s="87" t="e">
        <f>IF(VLOOKUP(A40,#REF!,12,FALSE)= "", "X",IF(VLOOKUP(A40,#REF!,12,FALSE)&gt;50,"Y","N"))</f>
        <v>#REF!</v>
      </c>
      <c r="M40" s="87" t="e">
        <f>IF(VLOOKUP(A40,#REF!,13,FALSE)= "", "X",IF(VLOOKUP(A40,#REF!,13,FALSE)&gt;50,"Y","N"))</f>
        <v>#REF!</v>
      </c>
      <c r="N40" s="87" t="e">
        <f>IF(VLOOKUP(A40,#REF!,14,FALSE)= "", "X",IF(VLOOKUP(A40,#REF!,14,FALSE)&gt;50,"Y","N"))</f>
        <v>#REF!</v>
      </c>
    </row>
    <row r="41" spans="1:14" ht="16.5" thickBot="1" x14ac:dyDescent="0.3">
      <c r="A41" s="88" t="str">
        <f>(Gradesheet!B45)</f>
        <v>18CS46</v>
      </c>
      <c r="B41" s="89">
        <f>Gradesheet!C45</f>
        <v>0</v>
      </c>
      <c r="C41" s="87" t="e">
        <f>IF(VLOOKUP(A41,#REF!,3,FALSE)="", "X",IF(VLOOKUP(A41,#REF!,3,FALSE)&gt;50,"Y","N"))</f>
        <v>#REF!</v>
      </c>
      <c r="D41" s="87" t="e">
        <f>IF(VLOOKUP(A41,#REF!,4,FALSE)= "", "X",IF(VLOOKUP(A41,#REF!,4,FALSE)&gt;50,"Y","N"))</f>
        <v>#REF!</v>
      </c>
      <c r="E41" s="87" t="e">
        <f>IF(VLOOKUP(A41,#REF!,5,FALSE)= "", "X",IF(VLOOKUP(A41,#REF!,5,FALSE)&gt;50,"Y","N"))</f>
        <v>#REF!</v>
      </c>
      <c r="F41" s="87" t="e">
        <f>IF(VLOOKUP(A41,#REF!,6,FALSE)= "", "X",IF(VLOOKUP(A41,#REF!,6,FALSE)&gt;50,"Y","N"))</f>
        <v>#REF!</v>
      </c>
      <c r="G41" s="87" t="e">
        <f>IF(VLOOKUP(A41,#REF!,7,FALSE)= "", "X",IF(VLOOKUP(A41,#REF!,7,FALSE)&gt;50,"Y","N"))</f>
        <v>#REF!</v>
      </c>
      <c r="H41" s="87" t="e">
        <f>IF(VLOOKUP(A41,#REF!,8,FALSE)= "", "X",IF(VLOOKUP(A41,#REF!,8,FALSE)&gt;50,"Y","N"))</f>
        <v>#REF!</v>
      </c>
      <c r="I41" s="87" t="e">
        <f>IF(VLOOKUP(A41,#REF!,9,FALSE)= "", "X",IF(VLOOKUP(A41,#REF!,9,FALSE)&gt;50,"Y","N"))</f>
        <v>#REF!</v>
      </c>
      <c r="J41" s="87" t="e">
        <f>IF(VLOOKUP(A41,#REF!,10,FALSE)= "", "X",IF(VLOOKUP(A41,#REF!,10,FALSE)&gt;50,"Y","N"))</f>
        <v>#REF!</v>
      </c>
      <c r="K41" s="87" t="e">
        <f>IF(VLOOKUP(A41,#REF!,11,FALSE)= "", "X",IF(VLOOKUP(A41,#REF!,11,FALSE)&gt;50,"Y","N"))</f>
        <v>#REF!</v>
      </c>
      <c r="L41" s="87" t="e">
        <f>IF(VLOOKUP(A41,#REF!,12,FALSE)= "", "X",IF(VLOOKUP(A41,#REF!,12,FALSE)&gt;50,"Y","N"))</f>
        <v>#REF!</v>
      </c>
      <c r="M41" s="87" t="e">
        <f>IF(VLOOKUP(A41,#REF!,13,FALSE)= "", "X",IF(VLOOKUP(A41,#REF!,13,FALSE)&gt;50,"Y","N"))</f>
        <v>#REF!</v>
      </c>
      <c r="N41" s="87" t="e">
        <f>IF(VLOOKUP(A41,#REF!,14,FALSE)= "", "X",IF(VLOOKUP(A41,#REF!,14,FALSE)&gt;50,"Y","N"))</f>
        <v>#REF!</v>
      </c>
    </row>
    <row r="42" spans="1:14" ht="16.5" thickBot="1" x14ac:dyDescent="0.3">
      <c r="A42" s="88" t="str">
        <f>(Gradesheet!B46)</f>
        <v>18CS47</v>
      </c>
      <c r="B42" s="89">
        <f>Gradesheet!C46</f>
        <v>0</v>
      </c>
      <c r="C42" s="87" t="e">
        <f>IF(VLOOKUP(A42,#REF!,3,FALSE)="", "X",IF(VLOOKUP(A42,#REF!,3,FALSE)&gt;50,"Y","N"))</f>
        <v>#REF!</v>
      </c>
      <c r="D42" s="87" t="e">
        <f>IF(VLOOKUP(A42,#REF!,4,FALSE)= "", "X",IF(VLOOKUP(A42,#REF!,4,FALSE)&gt;50,"Y","N"))</f>
        <v>#REF!</v>
      </c>
      <c r="E42" s="87" t="e">
        <f>IF(VLOOKUP(A42,#REF!,5,FALSE)= "", "X",IF(VLOOKUP(A42,#REF!,5,FALSE)&gt;50,"Y","N"))</f>
        <v>#REF!</v>
      </c>
      <c r="F42" s="87" t="e">
        <f>IF(VLOOKUP(A42,#REF!,6,FALSE)= "", "X",IF(VLOOKUP(A42,#REF!,6,FALSE)&gt;50,"Y","N"))</f>
        <v>#REF!</v>
      </c>
      <c r="G42" s="87" t="e">
        <f>IF(VLOOKUP(A42,#REF!,7,FALSE)= "", "X",IF(VLOOKUP(A42,#REF!,7,FALSE)&gt;50,"Y","N"))</f>
        <v>#REF!</v>
      </c>
      <c r="H42" s="87" t="e">
        <f>IF(VLOOKUP(A42,#REF!,8,FALSE)= "", "X",IF(VLOOKUP(A42,#REF!,8,FALSE)&gt;50,"Y","N"))</f>
        <v>#REF!</v>
      </c>
      <c r="I42" s="87" t="e">
        <f>IF(VLOOKUP(A42,#REF!,9,FALSE)= "", "X",IF(VLOOKUP(A42,#REF!,9,FALSE)&gt;50,"Y","N"))</f>
        <v>#REF!</v>
      </c>
      <c r="J42" s="87" t="e">
        <f>IF(VLOOKUP(A42,#REF!,10,FALSE)= "", "X",IF(VLOOKUP(A42,#REF!,10,FALSE)&gt;50,"Y","N"))</f>
        <v>#REF!</v>
      </c>
      <c r="K42" s="87" t="e">
        <f>IF(VLOOKUP(A42,#REF!,11,FALSE)= "", "X",IF(VLOOKUP(A42,#REF!,11,FALSE)&gt;50,"Y","N"))</f>
        <v>#REF!</v>
      </c>
      <c r="L42" s="87" t="e">
        <f>IF(VLOOKUP(A42,#REF!,12,FALSE)= "", "X",IF(VLOOKUP(A42,#REF!,12,FALSE)&gt;50,"Y","N"))</f>
        <v>#REF!</v>
      </c>
      <c r="M42" s="87" t="e">
        <f>IF(VLOOKUP(A42,#REF!,13,FALSE)= "", "X",IF(VLOOKUP(A42,#REF!,13,FALSE)&gt;50,"Y","N"))</f>
        <v>#REF!</v>
      </c>
      <c r="N42" s="87" t="e">
        <f>IF(VLOOKUP(A42,#REF!,14,FALSE)= "", "X",IF(VLOOKUP(A42,#REF!,14,FALSE)&gt;50,"Y","N"))</f>
        <v>#REF!</v>
      </c>
    </row>
    <row r="43" spans="1:14" ht="16.5" thickBot="1" x14ac:dyDescent="0.3">
      <c r="A43" s="88" t="str">
        <f>(Gradesheet!B47)</f>
        <v>17CS49</v>
      </c>
      <c r="B43" s="89">
        <f>Gradesheet!C47</f>
        <v>0</v>
      </c>
      <c r="C43" s="87" t="e">
        <f>IF(VLOOKUP(A43,#REF!,3,FALSE)="", "X",IF(VLOOKUP(A43,#REF!,3,FALSE)&gt;50,"Y","N"))</f>
        <v>#REF!</v>
      </c>
      <c r="D43" s="87" t="e">
        <f>IF(VLOOKUP(A43,#REF!,4,FALSE)= "", "X",IF(VLOOKUP(A43,#REF!,4,FALSE)&gt;50,"Y","N"))</f>
        <v>#REF!</v>
      </c>
      <c r="E43" s="87" t="e">
        <f>IF(VLOOKUP(A43,#REF!,5,FALSE)= "", "X",IF(VLOOKUP(A43,#REF!,5,FALSE)&gt;50,"Y","N"))</f>
        <v>#REF!</v>
      </c>
      <c r="F43" s="87" t="e">
        <f>IF(VLOOKUP(A43,#REF!,6,FALSE)= "", "X",IF(VLOOKUP(A43,#REF!,6,FALSE)&gt;50,"Y","N"))</f>
        <v>#REF!</v>
      </c>
      <c r="G43" s="87" t="e">
        <f>IF(VLOOKUP(A43,#REF!,7,FALSE)= "", "X",IF(VLOOKUP(A43,#REF!,7,FALSE)&gt;50,"Y","N"))</f>
        <v>#REF!</v>
      </c>
      <c r="H43" s="87" t="e">
        <f>IF(VLOOKUP(A43,#REF!,8,FALSE)= "", "X",IF(VLOOKUP(A43,#REF!,8,FALSE)&gt;50,"Y","N"))</f>
        <v>#REF!</v>
      </c>
      <c r="I43" s="87" t="e">
        <f>IF(VLOOKUP(A43,#REF!,9,FALSE)= "", "X",IF(VLOOKUP(A43,#REF!,9,FALSE)&gt;50,"Y","N"))</f>
        <v>#REF!</v>
      </c>
      <c r="J43" s="87" t="e">
        <f>IF(VLOOKUP(A43,#REF!,10,FALSE)= "", "X",IF(VLOOKUP(A43,#REF!,10,FALSE)&gt;50,"Y","N"))</f>
        <v>#REF!</v>
      </c>
      <c r="K43" s="87" t="e">
        <f>IF(VLOOKUP(A43,#REF!,11,FALSE)= "", "X",IF(VLOOKUP(A43,#REF!,11,FALSE)&gt;50,"Y","N"))</f>
        <v>#REF!</v>
      </c>
      <c r="L43" s="87" t="e">
        <f>IF(VLOOKUP(A43,#REF!,12,FALSE)= "", "X",IF(VLOOKUP(A43,#REF!,12,FALSE)&gt;50,"Y","N"))</f>
        <v>#REF!</v>
      </c>
      <c r="M43" s="87" t="e">
        <f>IF(VLOOKUP(A43,#REF!,13,FALSE)= "", "X",IF(VLOOKUP(A43,#REF!,13,FALSE)&gt;50,"Y","N"))</f>
        <v>#REF!</v>
      </c>
      <c r="N43" s="87" t="e">
        <f>IF(VLOOKUP(A43,#REF!,14,FALSE)= "", "X",IF(VLOOKUP(A43,#REF!,14,FALSE)&gt;50,"Y","N"))</f>
        <v>#REF!</v>
      </c>
    </row>
    <row r="44" spans="1:14" ht="16.5" thickBot="1" x14ac:dyDescent="0.3">
      <c r="A44" s="88" t="str">
        <f>(Gradesheet!B48)</f>
        <v>16CS37</v>
      </c>
      <c r="B44" s="89">
        <f>Gradesheet!C48</f>
        <v>0</v>
      </c>
      <c r="C44" s="87" t="e">
        <f>IF(VLOOKUP(A44,#REF!,3,FALSE)="", "X",IF(VLOOKUP(A44,#REF!,3,FALSE)&gt;50,"Y","N"))</f>
        <v>#REF!</v>
      </c>
      <c r="D44" s="87" t="e">
        <f>IF(VLOOKUP(A44,#REF!,4,FALSE)= "", "X",IF(VLOOKUP(A44,#REF!,4,FALSE)&gt;50,"Y","N"))</f>
        <v>#REF!</v>
      </c>
      <c r="E44" s="87" t="e">
        <f>IF(VLOOKUP(A44,#REF!,5,FALSE)= "", "X",IF(VLOOKUP(A44,#REF!,5,FALSE)&gt;50,"Y","N"))</f>
        <v>#REF!</v>
      </c>
      <c r="F44" s="87" t="e">
        <f>IF(VLOOKUP(A44,#REF!,6,FALSE)= "", "X",IF(VLOOKUP(A44,#REF!,6,FALSE)&gt;50,"Y","N"))</f>
        <v>#REF!</v>
      </c>
      <c r="G44" s="87" t="e">
        <f>IF(VLOOKUP(A44,#REF!,7,FALSE)= "", "X",IF(VLOOKUP(A44,#REF!,7,FALSE)&gt;50,"Y","N"))</f>
        <v>#REF!</v>
      </c>
      <c r="H44" s="87" t="e">
        <f>IF(VLOOKUP(A44,#REF!,8,FALSE)= "", "X",IF(VLOOKUP(A44,#REF!,8,FALSE)&gt;50,"Y","N"))</f>
        <v>#REF!</v>
      </c>
      <c r="I44" s="87" t="e">
        <f>IF(VLOOKUP(A44,#REF!,9,FALSE)= "", "X",IF(VLOOKUP(A44,#REF!,9,FALSE)&gt;50,"Y","N"))</f>
        <v>#REF!</v>
      </c>
      <c r="J44" s="87" t="e">
        <f>IF(VLOOKUP(A44,#REF!,10,FALSE)= "", "X",IF(VLOOKUP(A44,#REF!,10,FALSE)&gt;50,"Y","N"))</f>
        <v>#REF!</v>
      </c>
      <c r="K44" s="87" t="e">
        <f>IF(VLOOKUP(A44,#REF!,11,FALSE)= "", "X",IF(VLOOKUP(A44,#REF!,11,FALSE)&gt;50,"Y","N"))</f>
        <v>#REF!</v>
      </c>
      <c r="L44" s="87" t="e">
        <f>IF(VLOOKUP(A44,#REF!,12,FALSE)= "", "X",IF(VLOOKUP(A44,#REF!,12,FALSE)&gt;50,"Y","N"))</f>
        <v>#REF!</v>
      </c>
      <c r="M44" s="87" t="e">
        <f>IF(VLOOKUP(A44,#REF!,13,FALSE)= "", "X",IF(VLOOKUP(A44,#REF!,13,FALSE)&gt;50,"Y","N"))</f>
        <v>#REF!</v>
      </c>
      <c r="N44" s="87" t="e">
        <f>IF(VLOOKUP(A44,#REF!,14,FALSE)= "", "X",IF(VLOOKUP(A44,#REF!,14,FALSE)&gt;50,"Y","N"))</f>
        <v>#REF!</v>
      </c>
    </row>
    <row r="45" spans="1:14" ht="16.5" thickBot="1" x14ac:dyDescent="0.3">
      <c r="A45" s="88" t="str">
        <f>(Gradesheet!B49)</f>
        <v>16CS20</v>
      </c>
      <c r="B45" s="89">
        <f>Gradesheet!C49</f>
        <v>0</v>
      </c>
      <c r="C45" s="87" t="e">
        <f>IF(VLOOKUP(A45,#REF!,3,FALSE)="", "X",IF(VLOOKUP(A45,#REF!,3,FALSE)&gt;50,"Y","N"))</f>
        <v>#REF!</v>
      </c>
      <c r="D45" s="87" t="e">
        <f>IF(VLOOKUP(A45,#REF!,4,FALSE)= "", "X",IF(VLOOKUP(A45,#REF!,4,FALSE)&gt;50,"Y","N"))</f>
        <v>#REF!</v>
      </c>
      <c r="E45" s="87" t="e">
        <f>IF(VLOOKUP(A45,#REF!,5,FALSE)= "", "X",IF(VLOOKUP(A45,#REF!,5,FALSE)&gt;50,"Y","N"))</f>
        <v>#REF!</v>
      </c>
      <c r="F45" s="87" t="e">
        <f>IF(VLOOKUP(A45,#REF!,6,FALSE)= "", "X",IF(VLOOKUP(A45,#REF!,6,FALSE)&gt;50,"Y","N"))</f>
        <v>#REF!</v>
      </c>
      <c r="G45" s="87" t="e">
        <f>IF(VLOOKUP(A45,#REF!,7,FALSE)= "", "X",IF(VLOOKUP(A45,#REF!,7,FALSE)&gt;50,"Y","N"))</f>
        <v>#REF!</v>
      </c>
      <c r="H45" s="87" t="e">
        <f>IF(VLOOKUP(A45,#REF!,8,FALSE)= "", "X",IF(VLOOKUP(A45,#REF!,8,FALSE)&gt;50,"Y","N"))</f>
        <v>#REF!</v>
      </c>
      <c r="I45" s="87" t="e">
        <f>IF(VLOOKUP(A45,#REF!,9,FALSE)= "", "X",IF(VLOOKUP(A45,#REF!,9,FALSE)&gt;50,"Y","N"))</f>
        <v>#REF!</v>
      </c>
      <c r="J45" s="87" t="e">
        <f>IF(VLOOKUP(A45,#REF!,10,FALSE)= "", "X",IF(VLOOKUP(A45,#REF!,10,FALSE)&gt;50,"Y","N"))</f>
        <v>#REF!</v>
      </c>
      <c r="K45" s="87" t="e">
        <f>IF(VLOOKUP(A45,#REF!,11,FALSE)= "", "X",IF(VLOOKUP(A45,#REF!,11,FALSE)&gt;50,"Y","N"))</f>
        <v>#REF!</v>
      </c>
      <c r="L45" s="87" t="e">
        <f>IF(VLOOKUP(A45,#REF!,12,FALSE)= "", "X",IF(VLOOKUP(A45,#REF!,12,FALSE)&gt;50,"Y","N"))</f>
        <v>#REF!</v>
      </c>
      <c r="M45" s="87" t="e">
        <f>IF(VLOOKUP(A45,#REF!,13,FALSE)= "", "X",IF(VLOOKUP(A45,#REF!,13,FALSE)&gt;50,"Y","N"))</f>
        <v>#REF!</v>
      </c>
      <c r="N45" s="87" t="e">
        <f>IF(VLOOKUP(A45,#REF!,14,FALSE)= "", "X",IF(VLOOKUP(A45,#REF!,14,FALSE)&gt;50,"Y","N"))</f>
        <v>#REF!</v>
      </c>
    </row>
    <row r="46" spans="1:14" ht="16.5" thickBot="1" x14ac:dyDescent="0.3">
      <c r="A46" s="88" t="str">
        <f>(Gradesheet!B50)</f>
        <v>15CS29</v>
      </c>
      <c r="B46" s="89">
        <f>Gradesheet!C50</f>
        <v>0</v>
      </c>
      <c r="C46" s="87" t="e">
        <f>IF(VLOOKUP(A46,#REF!,3,FALSE)="", "X",IF(VLOOKUP(A46,#REF!,3,FALSE)&gt;50,"Y","N"))</f>
        <v>#REF!</v>
      </c>
      <c r="D46" s="87" t="e">
        <f>IF(VLOOKUP(A46,#REF!,4,FALSE)= "", "X",IF(VLOOKUP(A46,#REF!,4,FALSE)&gt;50,"Y","N"))</f>
        <v>#REF!</v>
      </c>
      <c r="E46" s="87" t="e">
        <f>IF(VLOOKUP(A46,#REF!,5,FALSE)= "", "X",IF(VLOOKUP(A46,#REF!,5,FALSE)&gt;50,"Y","N"))</f>
        <v>#REF!</v>
      </c>
      <c r="F46" s="87" t="e">
        <f>IF(VLOOKUP(A46,#REF!,6,FALSE)= "", "X",IF(VLOOKUP(A46,#REF!,6,FALSE)&gt;50,"Y","N"))</f>
        <v>#REF!</v>
      </c>
      <c r="G46" s="87" t="e">
        <f>IF(VLOOKUP(A46,#REF!,7,FALSE)= "", "X",IF(VLOOKUP(A46,#REF!,7,FALSE)&gt;50,"Y","N"))</f>
        <v>#REF!</v>
      </c>
      <c r="H46" s="87" t="e">
        <f>IF(VLOOKUP(A46,#REF!,8,FALSE)= "", "X",IF(VLOOKUP(A46,#REF!,8,FALSE)&gt;50,"Y","N"))</f>
        <v>#REF!</v>
      </c>
      <c r="I46" s="87" t="e">
        <f>IF(VLOOKUP(A46,#REF!,9,FALSE)= "", "X",IF(VLOOKUP(A46,#REF!,9,FALSE)&gt;50,"Y","N"))</f>
        <v>#REF!</v>
      </c>
      <c r="J46" s="87" t="e">
        <f>IF(VLOOKUP(A46,#REF!,10,FALSE)= "", "X",IF(VLOOKUP(A46,#REF!,10,FALSE)&gt;50,"Y","N"))</f>
        <v>#REF!</v>
      </c>
      <c r="K46" s="87" t="e">
        <f>IF(VLOOKUP(A46,#REF!,11,FALSE)= "", "X",IF(VLOOKUP(A46,#REF!,11,FALSE)&gt;50,"Y","N"))</f>
        <v>#REF!</v>
      </c>
      <c r="L46" s="87" t="e">
        <f>IF(VLOOKUP(A46,#REF!,12,FALSE)= "", "X",IF(VLOOKUP(A46,#REF!,12,FALSE)&gt;50,"Y","N"))</f>
        <v>#REF!</v>
      </c>
      <c r="M46" s="87" t="e">
        <f>IF(VLOOKUP(A46,#REF!,13,FALSE)= "", "X",IF(VLOOKUP(A46,#REF!,13,FALSE)&gt;50,"Y","N"))</f>
        <v>#REF!</v>
      </c>
      <c r="N46" s="87" t="e">
        <f>IF(VLOOKUP(A46,#REF!,14,FALSE)= "", "X",IF(VLOOKUP(A46,#REF!,14,FALSE)&gt;50,"Y","N"))</f>
        <v>#REF!</v>
      </c>
    </row>
    <row r="47" spans="1:14" ht="16.5" thickBot="1" x14ac:dyDescent="0.3">
      <c r="A47" s="88" t="e">
        <f>(Gradesheet!#REF!)</f>
        <v>#REF!</v>
      </c>
      <c r="B47" s="89" t="e">
        <f>Gradesheet!#REF!</f>
        <v>#REF!</v>
      </c>
      <c r="C47" s="87" t="e">
        <f>IF(VLOOKUP(A47,#REF!,3,FALSE)="", "X",IF(VLOOKUP(A47,#REF!,3,FALSE)&gt;50,"Y","N"))</f>
        <v>#REF!</v>
      </c>
      <c r="D47" s="87" t="e">
        <f>IF(VLOOKUP(A47,#REF!,4,FALSE)= "", "X",IF(VLOOKUP(A47,#REF!,4,FALSE)&gt;50,"Y","N"))</f>
        <v>#REF!</v>
      </c>
      <c r="E47" s="87" t="e">
        <f>IF(VLOOKUP(A47,#REF!,5,FALSE)= "", "X",IF(VLOOKUP(A47,#REF!,5,FALSE)&gt;50,"Y","N"))</f>
        <v>#REF!</v>
      </c>
      <c r="F47" s="87" t="e">
        <f>IF(VLOOKUP(A47,#REF!,6,FALSE)= "", "X",IF(VLOOKUP(A47,#REF!,6,FALSE)&gt;50,"Y","N"))</f>
        <v>#REF!</v>
      </c>
      <c r="G47" s="87" t="e">
        <f>IF(VLOOKUP(A47,#REF!,7,FALSE)= "", "X",IF(VLOOKUP(A47,#REF!,7,FALSE)&gt;50,"Y","N"))</f>
        <v>#REF!</v>
      </c>
      <c r="H47" s="87" t="e">
        <f>IF(VLOOKUP(A47,#REF!,8,FALSE)= "", "X",IF(VLOOKUP(A47,#REF!,8,FALSE)&gt;50,"Y","N"))</f>
        <v>#REF!</v>
      </c>
      <c r="I47" s="87" t="e">
        <f>IF(VLOOKUP(A47,#REF!,9,FALSE)= "", "X",IF(VLOOKUP(A47,#REF!,9,FALSE)&gt;50,"Y","N"))</f>
        <v>#REF!</v>
      </c>
      <c r="J47" s="87" t="e">
        <f>IF(VLOOKUP(A47,#REF!,10,FALSE)= "", "X",IF(VLOOKUP(A47,#REF!,10,FALSE)&gt;50,"Y","N"))</f>
        <v>#REF!</v>
      </c>
      <c r="K47" s="87" t="e">
        <f>IF(VLOOKUP(A47,#REF!,11,FALSE)= "", "X",IF(VLOOKUP(A47,#REF!,11,FALSE)&gt;50,"Y","N"))</f>
        <v>#REF!</v>
      </c>
      <c r="L47" s="87" t="e">
        <f>IF(VLOOKUP(A47,#REF!,12,FALSE)= "", "X",IF(VLOOKUP(A47,#REF!,12,FALSE)&gt;50,"Y","N"))</f>
        <v>#REF!</v>
      </c>
      <c r="M47" s="87" t="e">
        <f>IF(VLOOKUP(A47,#REF!,13,FALSE)= "", "X",IF(VLOOKUP(A47,#REF!,13,FALSE)&gt;50,"Y","N"))</f>
        <v>#REF!</v>
      </c>
      <c r="N47" s="87" t="e">
        <f>IF(VLOOKUP(A47,#REF!,14,FALSE)= "", "X",IF(VLOOKUP(A47,#REF!,14,FALSE)&gt;50,"Y","N"))</f>
        <v>#REF!</v>
      </c>
    </row>
    <row r="48" spans="1:14" ht="16.5" thickBot="1" x14ac:dyDescent="0.3">
      <c r="A48" s="88" t="e">
        <f>(Gradesheet!#REF!)</f>
        <v>#REF!</v>
      </c>
      <c r="B48" s="89" t="e">
        <f>Gradesheet!#REF!</f>
        <v>#REF!</v>
      </c>
      <c r="C48" s="87" t="e">
        <f>IF(VLOOKUP(A48,#REF!,3,FALSE)="", "X",IF(VLOOKUP(A48,#REF!,3,FALSE)&gt;50,"Y","N"))</f>
        <v>#REF!</v>
      </c>
      <c r="D48" s="87" t="e">
        <f>IF(VLOOKUP(A48,#REF!,4,FALSE)= "", "X",IF(VLOOKUP(A48,#REF!,4,FALSE)&gt;50,"Y","N"))</f>
        <v>#REF!</v>
      </c>
      <c r="E48" s="87" t="e">
        <f>IF(VLOOKUP(A48,#REF!,5,FALSE)= "", "X",IF(VLOOKUP(A48,#REF!,5,FALSE)&gt;50,"Y","N"))</f>
        <v>#REF!</v>
      </c>
      <c r="F48" s="87" t="e">
        <f>IF(VLOOKUP(A48,#REF!,6,FALSE)= "", "X",IF(VLOOKUP(A48,#REF!,6,FALSE)&gt;50,"Y","N"))</f>
        <v>#REF!</v>
      </c>
      <c r="G48" s="87" t="e">
        <f>IF(VLOOKUP(A48,#REF!,7,FALSE)= "", "X",IF(VLOOKUP(A48,#REF!,7,FALSE)&gt;50,"Y","N"))</f>
        <v>#REF!</v>
      </c>
      <c r="H48" s="87" t="e">
        <f>IF(VLOOKUP(A48,#REF!,8,FALSE)= "", "X",IF(VLOOKUP(A48,#REF!,8,FALSE)&gt;50,"Y","N"))</f>
        <v>#REF!</v>
      </c>
      <c r="I48" s="87" t="e">
        <f>IF(VLOOKUP(A48,#REF!,9,FALSE)= "", "X",IF(VLOOKUP(A48,#REF!,9,FALSE)&gt;50,"Y","N"))</f>
        <v>#REF!</v>
      </c>
      <c r="J48" s="87" t="e">
        <f>IF(VLOOKUP(A48,#REF!,10,FALSE)= "", "X",IF(VLOOKUP(A48,#REF!,10,FALSE)&gt;50,"Y","N"))</f>
        <v>#REF!</v>
      </c>
      <c r="K48" s="87" t="e">
        <f>IF(VLOOKUP(A48,#REF!,11,FALSE)= "", "X",IF(VLOOKUP(A48,#REF!,11,FALSE)&gt;50,"Y","N"))</f>
        <v>#REF!</v>
      </c>
      <c r="L48" s="87" t="e">
        <f>IF(VLOOKUP(A48,#REF!,12,FALSE)= "", "X",IF(VLOOKUP(A48,#REF!,12,FALSE)&gt;50,"Y","N"))</f>
        <v>#REF!</v>
      </c>
      <c r="M48" s="87" t="e">
        <f>IF(VLOOKUP(A48,#REF!,13,FALSE)= "", "X",IF(VLOOKUP(A48,#REF!,13,FALSE)&gt;50,"Y","N"))</f>
        <v>#REF!</v>
      </c>
      <c r="N48" s="87" t="e">
        <f>IF(VLOOKUP(A48,#REF!,14,FALSE)= "", "X",IF(VLOOKUP(A48,#REF!,14,FALSE)&gt;50,"Y","N"))</f>
        <v>#REF!</v>
      </c>
    </row>
    <row r="49" spans="1:2" ht="15.75" thickBot="1" x14ac:dyDescent="0.3">
      <c r="A49" s="79"/>
      <c r="B49" s="80"/>
    </row>
    <row r="50" spans="1:2" ht="15.75" thickBot="1" x14ac:dyDescent="0.3">
      <c r="A50" s="79"/>
      <c r="B50" s="80"/>
    </row>
    <row r="51" spans="1:2" ht="15.75" thickBot="1" x14ac:dyDescent="0.3">
      <c r="A51" s="79"/>
      <c r="B51" s="80"/>
    </row>
    <row r="52" spans="1:2" ht="15.75" thickBot="1" x14ac:dyDescent="0.3">
      <c r="A52" s="79"/>
      <c r="B52" s="80"/>
    </row>
    <row r="53" spans="1:2" ht="15.75" thickBot="1" x14ac:dyDescent="0.3">
      <c r="A53" s="79"/>
      <c r="B53" s="80"/>
    </row>
  </sheetData>
  <sheetProtection sheet="1" objects="1" scenarios="1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theme="3" tint="0.39997558519241921"/>
  </sheetPr>
  <dimension ref="A2:I18"/>
  <sheetViews>
    <sheetView workbookViewId="0">
      <selection activeCell="J11" sqref="J11"/>
    </sheetView>
  </sheetViews>
  <sheetFormatPr defaultRowHeight="15" x14ac:dyDescent="0.25"/>
  <cols>
    <col min="2" max="2" width="14.140625" customWidth="1"/>
    <col min="9" max="9" width="22.28515625" customWidth="1"/>
  </cols>
  <sheetData>
    <row r="2" spans="1:9" x14ac:dyDescent="0.2">
      <c r="A2" s="286" t="s">
        <v>103</v>
      </c>
      <c r="B2" s="287"/>
      <c r="C2" s="287"/>
      <c r="D2" s="287"/>
      <c r="E2" s="287"/>
      <c r="F2" s="287"/>
      <c r="G2" s="287"/>
      <c r="H2" s="287"/>
      <c r="I2" s="288"/>
    </row>
    <row r="3" spans="1:9" x14ac:dyDescent="0.2">
      <c r="A3" s="74"/>
      <c r="B3" s="75"/>
      <c r="C3" s="76"/>
      <c r="D3" s="75"/>
      <c r="E3" s="75"/>
      <c r="F3" s="75"/>
      <c r="G3" s="75"/>
      <c r="H3" s="75"/>
      <c r="I3" s="77"/>
    </row>
    <row r="4" spans="1:9" x14ac:dyDescent="0.2">
      <c r="A4" s="285" t="s">
        <v>104</v>
      </c>
      <c r="B4" s="285"/>
      <c r="C4" s="285" t="s">
        <v>105</v>
      </c>
      <c r="D4" s="285"/>
      <c r="E4" s="285"/>
      <c r="F4" s="285"/>
      <c r="G4" s="285"/>
      <c r="H4" s="285"/>
      <c r="I4" s="285"/>
    </row>
    <row r="5" spans="1:9" x14ac:dyDescent="0.2">
      <c r="A5" s="301"/>
      <c r="B5" s="282"/>
      <c r="C5" s="282"/>
      <c r="D5" s="282"/>
      <c r="E5" s="282"/>
      <c r="F5" s="282"/>
      <c r="G5" s="282"/>
      <c r="H5" s="282"/>
      <c r="I5" s="283"/>
    </row>
    <row r="6" spans="1:9" x14ac:dyDescent="0.2">
      <c r="A6" s="302" t="s">
        <v>164</v>
      </c>
      <c r="B6" s="302"/>
      <c r="C6" s="284" t="s">
        <v>165</v>
      </c>
      <c r="D6" s="284"/>
      <c r="E6" s="284"/>
      <c r="F6" s="284"/>
      <c r="G6" s="284"/>
      <c r="H6" s="284"/>
      <c r="I6" s="284"/>
    </row>
    <row r="7" spans="1:9" x14ac:dyDescent="0.2">
      <c r="A7" s="294" t="s">
        <v>124</v>
      </c>
      <c r="B7" s="294"/>
      <c r="C7" s="305" t="s">
        <v>106</v>
      </c>
      <c r="D7" s="305"/>
      <c r="E7" s="305"/>
      <c r="F7" s="305"/>
      <c r="G7" s="305"/>
      <c r="H7" s="305"/>
      <c r="I7" s="305"/>
    </row>
    <row r="8" spans="1:9" x14ac:dyDescent="0.2">
      <c r="A8" s="291" t="s">
        <v>151</v>
      </c>
      <c r="B8" s="291"/>
      <c r="C8" s="306" t="s">
        <v>166</v>
      </c>
      <c r="D8" s="306"/>
      <c r="E8" s="306"/>
      <c r="F8" s="306"/>
      <c r="G8" s="306"/>
      <c r="H8" s="306"/>
      <c r="I8" s="306"/>
    </row>
    <row r="9" spans="1:9" x14ac:dyDescent="0.2">
      <c r="A9" s="289" t="s">
        <v>162</v>
      </c>
      <c r="B9" s="290"/>
      <c r="C9" s="305" t="s">
        <v>163</v>
      </c>
      <c r="D9" s="305"/>
      <c r="E9" s="305"/>
      <c r="F9" s="305"/>
      <c r="G9" s="305"/>
      <c r="H9" s="305"/>
      <c r="I9" s="305"/>
    </row>
    <row r="10" spans="1:9" x14ac:dyDescent="0.2">
      <c r="A10" s="291" t="s">
        <v>137</v>
      </c>
      <c r="B10" s="291"/>
      <c r="C10" s="306" t="s">
        <v>167</v>
      </c>
      <c r="D10" s="306"/>
      <c r="E10" s="306"/>
      <c r="F10" s="306"/>
      <c r="G10" s="306"/>
      <c r="H10" s="306"/>
      <c r="I10" s="306"/>
    </row>
    <row r="11" spans="1:9" x14ac:dyDescent="0.2">
      <c r="A11" s="292" t="b">
        <v>1</v>
      </c>
      <c r="B11" s="292"/>
      <c r="C11" s="307" t="s">
        <v>169</v>
      </c>
      <c r="D11" s="307"/>
      <c r="E11" s="307"/>
      <c r="F11" s="307"/>
      <c r="G11" s="307"/>
      <c r="H11" s="307"/>
      <c r="I11" s="307"/>
    </row>
    <row r="12" spans="1:9" x14ac:dyDescent="0.2">
      <c r="A12" s="293" t="b">
        <v>0</v>
      </c>
      <c r="B12" s="293"/>
      <c r="C12" s="307" t="s">
        <v>170</v>
      </c>
      <c r="D12" s="307"/>
      <c r="E12" s="307"/>
      <c r="F12" s="307"/>
      <c r="G12" s="307"/>
      <c r="H12" s="307"/>
      <c r="I12" s="307"/>
    </row>
    <row r="13" spans="1:9" x14ac:dyDescent="0.2">
      <c r="A13" s="292" t="s">
        <v>171</v>
      </c>
      <c r="B13" s="292"/>
      <c r="C13" s="307" t="s">
        <v>172</v>
      </c>
      <c r="D13" s="307"/>
      <c r="E13" s="307"/>
      <c r="F13" s="307"/>
      <c r="G13" s="307"/>
      <c r="H13" s="307"/>
      <c r="I13" s="307"/>
    </row>
    <row r="14" spans="1:9" x14ac:dyDescent="0.2">
      <c r="A14" s="297"/>
      <c r="B14" s="298"/>
      <c r="C14" s="299"/>
      <c r="D14" s="300"/>
      <c r="E14" s="300"/>
      <c r="F14" s="300"/>
      <c r="G14" s="300"/>
      <c r="H14" s="300"/>
      <c r="I14" s="300"/>
    </row>
    <row r="15" spans="1:9" x14ac:dyDescent="0.2">
      <c r="A15" s="303"/>
      <c r="B15" s="304"/>
      <c r="C15" s="295"/>
      <c r="D15" s="296"/>
      <c r="E15" s="296"/>
      <c r="F15" s="296"/>
      <c r="G15" s="296"/>
      <c r="H15" s="296"/>
      <c r="I15" s="296"/>
    </row>
    <row r="16" spans="1:9" x14ac:dyDescent="0.2">
      <c r="A16" s="297"/>
      <c r="B16" s="298"/>
      <c r="C16" s="299"/>
      <c r="D16" s="300"/>
      <c r="E16" s="300"/>
      <c r="F16" s="300"/>
      <c r="G16" s="300"/>
      <c r="H16" s="300"/>
      <c r="I16" s="300"/>
    </row>
    <row r="17" spans="1:9" x14ac:dyDescent="0.2">
      <c r="A17" s="304"/>
      <c r="B17" s="304"/>
      <c r="C17" s="296"/>
      <c r="D17" s="296"/>
      <c r="E17" s="296"/>
      <c r="F17" s="296"/>
      <c r="G17" s="296"/>
      <c r="H17" s="296"/>
      <c r="I17" s="296"/>
    </row>
    <row r="18" spans="1:9" x14ac:dyDescent="0.2">
      <c r="A18" s="298"/>
      <c r="B18" s="298"/>
      <c r="C18" s="300"/>
      <c r="D18" s="300"/>
      <c r="E18" s="300"/>
      <c r="F18" s="300"/>
      <c r="G18" s="300"/>
      <c r="H18" s="300"/>
      <c r="I18" s="300"/>
    </row>
  </sheetData>
  <mergeCells count="31">
    <mergeCell ref="A17:B17"/>
    <mergeCell ref="A18:B18"/>
    <mergeCell ref="C17:I17"/>
    <mergeCell ref="C18:I18"/>
    <mergeCell ref="A13:B13"/>
    <mergeCell ref="A7:B7"/>
    <mergeCell ref="C15:I15"/>
    <mergeCell ref="A16:B16"/>
    <mergeCell ref="C16:I16"/>
    <mergeCell ref="A5:B5"/>
    <mergeCell ref="A6:B6"/>
    <mergeCell ref="A14:B14"/>
    <mergeCell ref="A15:B15"/>
    <mergeCell ref="C7:I7"/>
    <mergeCell ref="C8:I8"/>
    <mergeCell ref="C9:I9"/>
    <mergeCell ref="C10:I10"/>
    <mergeCell ref="C11:I11"/>
    <mergeCell ref="C12:I12"/>
    <mergeCell ref="C13:I13"/>
    <mergeCell ref="C14:I14"/>
    <mergeCell ref="A9:B9"/>
    <mergeCell ref="A10:B10"/>
    <mergeCell ref="A11:B11"/>
    <mergeCell ref="A12:B12"/>
    <mergeCell ref="A8:B8"/>
    <mergeCell ref="C5:I5"/>
    <mergeCell ref="C6:I6"/>
    <mergeCell ref="A4:B4"/>
    <mergeCell ref="C4:I4"/>
    <mergeCell ref="A2:I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Attendance</vt:lpstr>
      <vt:lpstr>Outline</vt:lpstr>
      <vt:lpstr>Gradesheet</vt:lpstr>
      <vt:lpstr>Examsheet</vt:lpstr>
      <vt:lpstr>Sheet1</vt:lpstr>
      <vt:lpstr>Abbreviations</vt:lpstr>
      <vt:lpstr>Gradesheet!Print_Area</vt:lpstr>
      <vt:lpstr>Examsheet!Print_Titles</vt:lpstr>
    </vt:vector>
  </TitlesOfParts>
  <Company>IQRA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Azam</dc:creator>
  <cp:lastModifiedBy>user</cp:lastModifiedBy>
  <cp:lastPrinted>2020-11-06T13:15:19Z</cp:lastPrinted>
  <dcterms:created xsi:type="dcterms:W3CDTF">2009-10-07T23:07:49Z</dcterms:created>
  <dcterms:modified xsi:type="dcterms:W3CDTF">2021-04-30T05:42:13Z</dcterms:modified>
</cp:coreProperties>
</file>